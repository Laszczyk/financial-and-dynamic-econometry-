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okumenty\Studia\Informatyka i ekonometria II stopień\IiE III Semestr\EFID\"/>
    </mc:Choice>
  </mc:AlternateContent>
  <xr:revisionPtr revIDLastSave="0" documentId="8_{3A4E9447-2D06-47B4-A412-F32789CBA2F4}" xr6:coauthVersionLast="47" xr6:coauthVersionMax="47" xr10:uidLastSave="{00000000-0000-0000-0000-000000000000}"/>
  <bookViews>
    <workbookView xWindow="-108" yWindow="-108" windowWidth="23256" windowHeight="12456" xr2:uid="{0DFBD28D-F22E-4ADE-B47D-38B36454D437}"/>
  </bookViews>
  <sheets>
    <sheet name="Arkusz1" sheetId="1" r:id="rId1"/>
  </sheets>
  <definedNames>
    <definedName name="solver_adj" localSheetId="0" hidden="1">Arkusz1!$L$2:$L$5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Arkusz1!$L$3</definedName>
    <definedName name="solver_lhs2" localSheetId="0" hidden="1">Arkusz1!$L$3</definedName>
    <definedName name="solver_lhs3" localSheetId="0" hidden="1">Arkusz1!$L$4</definedName>
    <definedName name="solver_lhs4" localSheetId="0" hidden="1">Arkusz1!$L$4</definedName>
    <definedName name="solver_lhs5" localSheetId="0" hidden="1">Arkusz1!$L$5</definedName>
    <definedName name="solver_lhs6" localSheetId="0" hidden="1">Arkusz1!$L$5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Arkusz1!$L$9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0.999</definedName>
    <definedName name="solver_rhs2" localSheetId="0" hidden="1">-0.999</definedName>
    <definedName name="solver_rhs3" localSheetId="0" hidden="1">0.999</definedName>
    <definedName name="solver_rhs4" localSheetId="0" hidden="1">-0.999</definedName>
    <definedName name="solver_rhs5" localSheetId="0" hidden="1">0.999</definedName>
    <definedName name="solver_rhs6" localSheetId="0" hidden="1">-0.999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2" i="1"/>
  <c r="G2" i="1" a="1"/>
  <c r="G2" i="1" s="1"/>
  <c r="H2" i="1" s="1"/>
  <c r="L1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E3" i="1" l="1" a="1"/>
  <c r="E3" i="1" s="1"/>
  <c r="F4" i="1" a="1"/>
  <c r="F4" i="1" s="1"/>
  <c r="I2" i="1"/>
  <c r="G3" i="1" a="1"/>
  <c r="G3" i="1" s="1"/>
  <c r="H3" i="1" s="1"/>
  <c r="F5" i="1" l="1" a="1"/>
  <c r="F5" i="1" s="1"/>
  <c r="E4" i="1" a="1"/>
  <c r="E4" i="1" s="1"/>
  <c r="G4" i="1" a="1"/>
  <c r="G4" i="1" s="1"/>
  <c r="H4" i="1" s="1"/>
  <c r="I3" i="1"/>
  <c r="F6" i="1" l="1" a="1"/>
  <c r="F6" i="1" s="1"/>
  <c r="E5" i="1" a="1"/>
  <c r="E5" i="1" s="1"/>
  <c r="G5" i="1" a="1"/>
  <c r="G5" i="1" s="1"/>
  <c r="H5" i="1" s="1"/>
  <c r="I4" i="1"/>
  <c r="E6" i="1" l="1" a="1"/>
  <c r="E6" i="1" s="1"/>
  <c r="F7" i="1" a="1"/>
  <c r="F7" i="1" s="1"/>
  <c r="G6" i="1" a="1"/>
  <c r="G6" i="1" s="1"/>
  <c r="H6" i="1" s="1"/>
  <c r="I5" i="1"/>
  <c r="E7" i="1" l="1" a="1"/>
  <c r="E7" i="1" s="1"/>
  <c r="F8" i="1" a="1"/>
  <c r="F8" i="1" s="1"/>
  <c r="G7" i="1" a="1"/>
  <c r="G7" i="1" s="1"/>
  <c r="H7" i="1" s="1"/>
  <c r="I6" i="1"/>
  <c r="F9" i="1" l="1" a="1"/>
  <c r="F9" i="1" s="1"/>
  <c r="E8" i="1" a="1"/>
  <c r="E8" i="1" s="1"/>
  <c r="G8" i="1" a="1"/>
  <c r="G8" i="1" s="1"/>
  <c r="H8" i="1" s="1"/>
  <c r="I7" i="1"/>
  <c r="F10" i="1" l="1" a="1"/>
  <c r="F10" i="1" s="1"/>
  <c r="E9" i="1" a="1"/>
  <c r="E9" i="1" s="1"/>
  <c r="G9" i="1" a="1"/>
  <c r="G9" i="1" s="1"/>
  <c r="H9" i="1" s="1"/>
  <c r="I8" i="1"/>
  <c r="F11" i="1" l="1" a="1"/>
  <c r="F11" i="1" s="1"/>
  <c r="E10" i="1" a="1"/>
  <c r="E10" i="1" s="1"/>
  <c r="G10" i="1" a="1"/>
  <c r="G10" i="1" s="1"/>
  <c r="H10" i="1" s="1"/>
  <c r="I9" i="1"/>
  <c r="F12" i="1" l="1" a="1"/>
  <c r="F12" i="1" s="1"/>
  <c r="E11" i="1" a="1"/>
  <c r="E11" i="1" s="1"/>
  <c r="G11" i="1" a="1"/>
  <c r="G11" i="1" s="1"/>
  <c r="H11" i="1" s="1"/>
  <c r="I10" i="1"/>
  <c r="E12" i="1" l="1" a="1"/>
  <c r="E12" i="1" s="1"/>
  <c r="F13" i="1" a="1"/>
  <c r="F13" i="1" s="1"/>
  <c r="G12" i="1" a="1"/>
  <c r="G12" i="1" s="1"/>
  <c r="H12" i="1" s="1"/>
  <c r="I11" i="1"/>
  <c r="F14" i="1" l="1" a="1"/>
  <c r="F14" i="1" s="1"/>
  <c r="E13" i="1" a="1"/>
  <c r="E13" i="1" s="1"/>
  <c r="G13" i="1" a="1"/>
  <c r="G13" i="1" s="1"/>
  <c r="H13" i="1" s="1"/>
  <c r="I12" i="1"/>
  <c r="E14" i="1" l="1" a="1"/>
  <c r="E14" i="1" s="1"/>
  <c r="F15" i="1" a="1"/>
  <c r="F15" i="1" s="1"/>
  <c r="G14" i="1" a="1"/>
  <c r="G14" i="1" s="1"/>
  <c r="H14" i="1" s="1"/>
  <c r="I13" i="1"/>
  <c r="E15" i="1" l="1" a="1"/>
  <c r="E15" i="1" s="1"/>
  <c r="F16" i="1" a="1"/>
  <c r="F16" i="1" s="1"/>
  <c r="G15" i="1" a="1"/>
  <c r="G15" i="1" s="1"/>
  <c r="H15" i="1" s="1"/>
  <c r="I14" i="1"/>
  <c r="E16" i="1" l="1" a="1"/>
  <c r="E16" i="1" s="1"/>
  <c r="F17" i="1" a="1"/>
  <c r="F17" i="1" s="1"/>
  <c r="G16" i="1" a="1"/>
  <c r="G16" i="1" s="1"/>
  <c r="H16" i="1" s="1"/>
  <c r="I15" i="1"/>
  <c r="E17" i="1" l="1" a="1"/>
  <c r="E17" i="1" s="1"/>
  <c r="F18" i="1" a="1"/>
  <c r="F18" i="1" s="1"/>
  <c r="G17" i="1" a="1"/>
  <c r="G17" i="1" s="1"/>
  <c r="H17" i="1" s="1"/>
  <c r="I16" i="1"/>
  <c r="F19" i="1" l="1" a="1"/>
  <c r="F19" i="1" s="1"/>
  <c r="E18" i="1" a="1"/>
  <c r="E18" i="1" s="1"/>
  <c r="G18" i="1" a="1"/>
  <c r="G18" i="1" s="1"/>
  <c r="H18" i="1" s="1"/>
  <c r="I17" i="1"/>
  <c r="F20" i="1" l="1" a="1"/>
  <c r="F20" i="1" s="1"/>
  <c r="E19" i="1" a="1"/>
  <c r="E19" i="1" s="1"/>
  <c r="G19" i="1" a="1"/>
  <c r="G19" i="1" s="1"/>
  <c r="H19" i="1" s="1"/>
  <c r="I18" i="1"/>
  <c r="E20" i="1" l="1" a="1"/>
  <c r="E20" i="1" s="1"/>
  <c r="F21" i="1" a="1"/>
  <c r="F21" i="1" s="1"/>
  <c r="G20" i="1" a="1"/>
  <c r="G20" i="1" s="1"/>
  <c r="H20" i="1" s="1"/>
  <c r="I19" i="1"/>
  <c r="E21" i="1" l="1" a="1"/>
  <c r="E21" i="1" s="1"/>
  <c r="F22" i="1" a="1"/>
  <c r="F22" i="1" s="1"/>
  <c r="G21" i="1" a="1"/>
  <c r="G21" i="1" s="1"/>
  <c r="H21" i="1" s="1"/>
  <c r="I20" i="1"/>
  <c r="E22" i="1" l="1" a="1"/>
  <c r="E22" i="1" s="1"/>
  <c r="F23" i="1" a="1"/>
  <c r="F23" i="1" s="1"/>
  <c r="G22" i="1" a="1"/>
  <c r="G22" i="1" s="1"/>
  <c r="H22" i="1" s="1"/>
  <c r="I21" i="1"/>
  <c r="F24" i="1" l="1" a="1"/>
  <c r="F24" i="1" s="1"/>
  <c r="E23" i="1" a="1"/>
  <c r="E23" i="1" s="1"/>
  <c r="G23" i="1" a="1"/>
  <c r="G23" i="1" s="1"/>
  <c r="H23" i="1" s="1"/>
  <c r="I22" i="1"/>
  <c r="F25" i="1" l="1" a="1"/>
  <c r="F25" i="1" s="1"/>
  <c r="E24" i="1" a="1"/>
  <c r="E24" i="1" s="1"/>
  <c r="G24" i="1" a="1"/>
  <c r="G24" i="1" s="1"/>
  <c r="H24" i="1" s="1"/>
  <c r="I23" i="1"/>
  <c r="F26" i="1" l="1" a="1"/>
  <c r="F26" i="1" s="1"/>
  <c r="E25" i="1" a="1"/>
  <c r="E25" i="1" s="1"/>
  <c r="G25" i="1" a="1"/>
  <c r="G25" i="1" s="1"/>
  <c r="H25" i="1" s="1"/>
  <c r="I24" i="1"/>
  <c r="E26" i="1" l="1" a="1"/>
  <c r="E26" i="1" s="1"/>
  <c r="F27" i="1" a="1"/>
  <c r="F27" i="1" s="1"/>
  <c r="G26" i="1" a="1"/>
  <c r="G26" i="1" s="1"/>
  <c r="H26" i="1" s="1"/>
  <c r="I25" i="1"/>
  <c r="E27" i="1" l="1" a="1"/>
  <c r="E27" i="1" s="1"/>
  <c r="F28" i="1" a="1"/>
  <c r="F28" i="1" s="1"/>
  <c r="G27" i="1" a="1"/>
  <c r="G27" i="1" s="1"/>
  <c r="H27" i="1" s="1"/>
  <c r="I26" i="1"/>
  <c r="E28" i="1" l="1" a="1"/>
  <c r="E28" i="1" s="1"/>
  <c r="F29" i="1" a="1"/>
  <c r="F29" i="1" s="1"/>
  <c r="G28" i="1" a="1"/>
  <c r="G28" i="1" s="1"/>
  <c r="H28" i="1" s="1"/>
  <c r="I27" i="1"/>
  <c r="F30" i="1" l="1" a="1"/>
  <c r="F30" i="1" s="1"/>
  <c r="E29" i="1" a="1"/>
  <c r="E29" i="1" s="1"/>
  <c r="G29" i="1" a="1"/>
  <c r="G29" i="1" s="1"/>
  <c r="H29" i="1" s="1"/>
  <c r="I28" i="1"/>
  <c r="F31" i="1" l="1" a="1"/>
  <c r="F31" i="1" s="1"/>
  <c r="E30" i="1" a="1"/>
  <c r="E30" i="1" s="1"/>
  <c r="G30" i="1" a="1"/>
  <c r="G30" i="1" s="1"/>
  <c r="H30" i="1" s="1"/>
  <c r="I29" i="1"/>
  <c r="F32" i="1" l="1" a="1"/>
  <c r="F32" i="1" s="1"/>
  <c r="E31" i="1" a="1"/>
  <c r="E31" i="1" s="1"/>
  <c r="G31" i="1" a="1"/>
  <c r="G31" i="1" s="1"/>
  <c r="H31" i="1" s="1"/>
  <c r="I30" i="1"/>
  <c r="E32" i="1" l="1" a="1"/>
  <c r="E32" i="1" s="1"/>
  <c r="F33" i="1" a="1"/>
  <c r="F33" i="1" s="1"/>
  <c r="G32" i="1" a="1"/>
  <c r="G32" i="1" s="1"/>
  <c r="H32" i="1" s="1"/>
  <c r="I31" i="1"/>
  <c r="E33" i="1" l="1" a="1"/>
  <c r="E33" i="1" s="1"/>
  <c r="F34" i="1" a="1"/>
  <c r="F34" i="1" s="1"/>
  <c r="G33" i="1" a="1"/>
  <c r="G33" i="1" s="1"/>
  <c r="H33" i="1" s="1"/>
  <c r="I32" i="1"/>
  <c r="E34" i="1" l="1" a="1"/>
  <c r="E34" i="1" s="1"/>
  <c r="F35" i="1" a="1"/>
  <c r="F35" i="1" s="1"/>
  <c r="G34" i="1" a="1"/>
  <c r="G34" i="1" s="1"/>
  <c r="H34" i="1" s="1"/>
  <c r="I33" i="1"/>
  <c r="E35" i="1" l="1" a="1"/>
  <c r="E35" i="1" s="1"/>
  <c r="F36" i="1" a="1"/>
  <c r="F36" i="1" s="1"/>
  <c r="G35" i="1" a="1"/>
  <c r="G35" i="1" s="1"/>
  <c r="H35" i="1" s="1"/>
  <c r="I34" i="1"/>
  <c r="F37" i="1" l="1" a="1"/>
  <c r="F37" i="1" s="1"/>
  <c r="E36" i="1" a="1"/>
  <c r="E36" i="1" s="1"/>
  <c r="G36" i="1" a="1"/>
  <c r="G36" i="1" s="1"/>
  <c r="H36" i="1" s="1"/>
  <c r="I35" i="1"/>
  <c r="F38" i="1" l="1" a="1"/>
  <c r="F38" i="1" s="1"/>
  <c r="E37" i="1" a="1"/>
  <c r="E37" i="1" s="1"/>
  <c r="G37" i="1" a="1"/>
  <c r="G37" i="1" s="1"/>
  <c r="H37" i="1" s="1"/>
  <c r="I36" i="1"/>
  <c r="E38" i="1" l="1" a="1"/>
  <c r="E38" i="1" s="1"/>
  <c r="F39" i="1" a="1"/>
  <c r="F39" i="1" s="1"/>
  <c r="G38" i="1" a="1"/>
  <c r="G38" i="1" s="1"/>
  <c r="H38" i="1" s="1"/>
  <c r="I37" i="1"/>
  <c r="E39" i="1" l="1" a="1"/>
  <c r="E39" i="1" s="1"/>
  <c r="F40" i="1" a="1"/>
  <c r="F40" i="1" s="1"/>
  <c r="G39" i="1" a="1"/>
  <c r="G39" i="1" s="1"/>
  <c r="H39" i="1" s="1"/>
  <c r="I38" i="1"/>
  <c r="E40" i="1" l="1" a="1"/>
  <c r="E40" i="1" s="1"/>
  <c r="F41" i="1" a="1"/>
  <c r="F41" i="1" s="1"/>
  <c r="G40" i="1" a="1"/>
  <c r="G40" i="1" s="1"/>
  <c r="H40" i="1" s="1"/>
  <c r="I39" i="1"/>
  <c r="E41" i="1" l="1" a="1"/>
  <c r="E41" i="1" s="1"/>
  <c r="F42" i="1" a="1"/>
  <c r="F42" i="1" s="1"/>
  <c r="G41" i="1" a="1"/>
  <c r="G41" i="1" s="1"/>
  <c r="H41" i="1" s="1"/>
  <c r="I40" i="1"/>
  <c r="E42" i="1" l="1" a="1"/>
  <c r="E42" i="1" s="1"/>
  <c r="F43" i="1" a="1"/>
  <c r="F43" i="1" s="1"/>
  <c r="G42" i="1" a="1"/>
  <c r="G42" i="1" s="1"/>
  <c r="H42" i="1" s="1"/>
  <c r="I41" i="1"/>
  <c r="F44" i="1" l="1" a="1"/>
  <c r="F44" i="1" s="1"/>
  <c r="E43" i="1" a="1"/>
  <c r="E43" i="1" s="1"/>
  <c r="G43" i="1" a="1"/>
  <c r="G43" i="1" s="1"/>
  <c r="H43" i="1" s="1"/>
  <c r="I42" i="1"/>
  <c r="F45" i="1" l="1" a="1"/>
  <c r="F45" i="1" s="1"/>
  <c r="E44" i="1" a="1"/>
  <c r="E44" i="1" s="1"/>
  <c r="G44" i="1" a="1"/>
  <c r="G44" i="1" s="1"/>
  <c r="H44" i="1" s="1"/>
  <c r="I43" i="1"/>
  <c r="E45" i="1" l="1" a="1"/>
  <c r="E45" i="1" s="1"/>
  <c r="F46" i="1" a="1"/>
  <c r="F46" i="1" s="1"/>
  <c r="G45" i="1" a="1"/>
  <c r="G45" i="1" s="1"/>
  <c r="H45" i="1" s="1"/>
  <c r="I44" i="1"/>
  <c r="E46" i="1" l="1" a="1"/>
  <c r="E46" i="1" s="1"/>
  <c r="F47" i="1" a="1"/>
  <c r="F47" i="1" s="1"/>
  <c r="G46" i="1" a="1"/>
  <c r="G46" i="1" s="1"/>
  <c r="H46" i="1" s="1"/>
  <c r="I45" i="1"/>
  <c r="E47" i="1" l="1" a="1"/>
  <c r="E47" i="1" s="1"/>
  <c r="F48" i="1" a="1"/>
  <c r="F48" i="1" s="1"/>
  <c r="G47" i="1" a="1"/>
  <c r="G47" i="1" s="1"/>
  <c r="H47" i="1" s="1"/>
  <c r="I46" i="1"/>
  <c r="F49" i="1" l="1" a="1"/>
  <c r="F49" i="1" s="1"/>
  <c r="E48" i="1" a="1"/>
  <c r="E48" i="1" s="1"/>
  <c r="G48" i="1" a="1"/>
  <c r="G48" i="1" s="1"/>
  <c r="H48" i="1" s="1"/>
  <c r="I47" i="1"/>
  <c r="F50" i="1" l="1" a="1"/>
  <c r="F50" i="1" s="1"/>
  <c r="E49" i="1" a="1"/>
  <c r="E49" i="1" s="1"/>
  <c r="G49" i="1" a="1"/>
  <c r="G49" i="1" s="1"/>
  <c r="H49" i="1" s="1"/>
  <c r="I48" i="1"/>
  <c r="F51" i="1" l="1" a="1"/>
  <c r="F51" i="1" s="1"/>
  <c r="E50" i="1" a="1"/>
  <c r="E50" i="1" s="1"/>
  <c r="G50" i="1" a="1"/>
  <c r="G50" i="1" s="1"/>
  <c r="H50" i="1" s="1"/>
  <c r="I49" i="1"/>
  <c r="F52" i="1" l="1" a="1"/>
  <c r="F52" i="1" s="1"/>
  <c r="E51" i="1" a="1"/>
  <c r="E51" i="1" s="1"/>
  <c r="G51" i="1" a="1"/>
  <c r="G51" i="1" s="1"/>
  <c r="H51" i="1" s="1"/>
  <c r="I50" i="1"/>
  <c r="E52" i="1" l="1" a="1"/>
  <c r="E52" i="1" s="1"/>
  <c r="F53" i="1" a="1"/>
  <c r="F53" i="1" s="1"/>
  <c r="G52" i="1" a="1"/>
  <c r="G52" i="1" s="1"/>
  <c r="H52" i="1" s="1"/>
  <c r="I51" i="1"/>
  <c r="E53" i="1" l="1" a="1"/>
  <c r="E53" i="1" s="1"/>
  <c r="F54" i="1" a="1"/>
  <c r="F54" i="1" s="1"/>
  <c r="G53" i="1" a="1"/>
  <c r="G53" i="1" s="1"/>
  <c r="H53" i="1" s="1"/>
  <c r="I52" i="1"/>
  <c r="E54" i="1" l="1" a="1"/>
  <c r="E54" i="1" s="1"/>
  <c r="F55" i="1" a="1"/>
  <c r="F55" i="1" s="1"/>
  <c r="G54" i="1" a="1"/>
  <c r="G54" i="1" s="1"/>
  <c r="H54" i="1" s="1"/>
  <c r="I53" i="1"/>
  <c r="F56" i="1" l="1" a="1"/>
  <c r="F56" i="1" s="1"/>
  <c r="E55" i="1" a="1"/>
  <c r="E55" i="1" s="1"/>
  <c r="G55" i="1" a="1"/>
  <c r="G55" i="1" s="1"/>
  <c r="H55" i="1" s="1"/>
  <c r="I54" i="1"/>
  <c r="F57" i="1" l="1" a="1"/>
  <c r="F57" i="1" s="1"/>
  <c r="E56" i="1" a="1"/>
  <c r="E56" i="1" s="1"/>
  <c r="G56" i="1" a="1"/>
  <c r="G56" i="1" s="1"/>
  <c r="H56" i="1" s="1"/>
  <c r="I55" i="1"/>
  <c r="E57" i="1" l="1" a="1"/>
  <c r="E57" i="1" s="1"/>
  <c r="F58" i="1" a="1"/>
  <c r="F58" i="1" s="1"/>
  <c r="G57" i="1" a="1"/>
  <c r="G57" i="1" s="1"/>
  <c r="H57" i="1" s="1"/>
  <c r="I56" i="1"/>
  <c r="E58" i="1" l="1" a="1"/>
  <c r="E58" i="1" s="1"/>
  <c r="F59" i="1" a="1"/>
  <c r="F59" i="1" s="1"/>
  <c r="G58" i="1" a="1"/>
  <c r="G58" i="1" s="1"/>
  <c r="H58" i="1" s="1"/>
  <c r="I57" i="1"/>
  <c r="E59" i="1" l="1" a="1"/>
  <c r="E59" i="1" s="1"/>
  <c r="F60" i="1" a="1"/>
  <c r="F60" i="1" s="1"/>
  <c r="G59" i="1" a="1"/>
  <c r="G59" i="1" s="1"/>
  <c r="H59" i="1" s="1"/>
  <c r="I58" i="1"/>
  <c r="E60" i="1" l="1" a="1"/>
  <c r="E60" i="1" s="1"/>
  <c r="F61" i="1" a="1"/>
  <c r="F61" i="1" s="1"/>
  <c r="G60" i="1" a="1"/>
  <c r="G60" i="1" s="1"/>
  <c r="H60" i="1" s="1"/>
  <c r="I59" i="1"/>
  <c r="E61" i="1" l="1" a="1"/>
  <c r="E61" i="1" s="1"/>
  <c r="F62" i="1" a="1"/>
  <c r="F62" i="1" s="1"/>
  <c r="G61" i="1" a="1"/>
  <c r="G61" i="1" s="1"/>
  <c r="H61" i="1" s="1"/>
  <c r="I60" i="1"/>
  <c r="F63" i="1" l="1" a="1"/>
  <c r="F63" i="1" s="1"/>
  <c r="E62" i="1" a="1"/>
  <c r="E62" i="1" s="1"/>
  <c r="G62" i="1" a="1"/>
  <c r="G62" i="1" s="1"/>
  <c r="H62" i="1" s="1"/>
  <c r="I61" i="1"/>
  <c r="F64" i="1" l="1" a="1"/>
  <c r="F64" i="1" s="1"/>
  <c r="E63" i="1" a="1"/>
  <c r="E63" i="1" s="1"/>
  <c r="G63" i="1" a="1"/>
  <c r="G63" i="1" s="1"/>
  <c r="H63" i="1" s="1"/>
  <c r="I62" i="1"/>
  <c r="E64" i="1" l="1" a="1"/>
  <c r="E64" i="1" s="1"/>
  <c r="F65" i="1" a="1"/>
  <c r="F65" i="1" s="1"/>
  <c r="G64" i="1" a="1"/>
  <c r="G64" i="1" s="1"/>
  <c r="H64" i="1" s="1"/>
  <c r="I63" i="1"/>
  <c r="E65" i="1" l="1" a="1"/>
  <c r="E65" i="1" s="1"/>
  <c r="F66" i="1" a="1"/>
  <c r="F66" i="1" s="1"/>
  <c r="G65" i="1" a="1"/>
  <c r="G65" i="1" s="1"/>
  <c r="H65" i="1" s="1"/>
  <c r="I64" i="1"/>
  <c r="E66" i="1" l="1" a="1"/>
  <c r="E66" i="1" s="1"/>
  <c r="F67" i="1" a="1"/>
  <c r="F67" i="1" s="1"/>
  <c r="G66" i="1" a="1"/>
  <c r="G66" i="1" s="1"/>
  <c r="H66" i="1" s="1"/>
  <c r="I65" i="1"/>
  <c r="E67" i="1" l="1" a="1"/>
  <c r="E67" i="1" s="1"/>
  <c r="F68" i="1" a="1"/>
  <c r="F68" i="1" s="1"/>
  <c r="G67" i="1" a="1"/>
  <c r="G67" i="1" s="1"/>
  <c r="H67" i="1" s="1"/>
  <c r="I66" i="1"/>
  <c r="F69" i="1" l="1" a="1"/>
  <c r="F69" i="1" s="1"/>
  <c r="E68" i="1" a="1"/>
  <c r="E68" i="1" s="1"/>
  <c r="G68" i="1" a="1"/>
  <c r="G68" i="1" s="1"/>
  <c r="H68" i="1" s="1"/>
  <c r="I67" i="1"/>
  <c r="F70" i="1" l="1" a="1"/>
  <c r="F70" i="1" s="1"/>
  <c r="E69" i="1" a="1"/>
  <c r="E69" i="1" s="1"/>
  <c r="G69" i="1" a="1"/>
  <c r="G69" i="1" s="1"/>
  <c r="H69" i="1" s="1"/>
  <c r="I68" i="1"/>
  <c r="F71" i="1" l="1" a="1"/>
  <c r="F71" i="1" s="1"/>
  <c r="E70" i="1" a="1"/>
  <c r="E70" i="1" s="1"/>
  <c r="G70" i="1" a="1"/>
  <c r="G70" i="1" s="1"/>
  <c r="H70" i="1" s="1"/>
  <c r="I69" i="1"/>
  <c r="E71" i="1" l="1" a="1"/>
  <c r="E71" i="1" s="1"/>
  <c r="F72" i="1" a="1"/>
  <c r="F72" i="1" s="1"/>
  <c r="G71" i="1" a="1"/>
  <c r="G71" i="1" s="1"/>
  <c r="H71" i="1" s="1"/>
  <c r="I70" i="1"/>
  <c r="E72" i="1" l="1" a="1"/>
  <c r="E72" i="1" s="1"/>
  <c r="F73" i="1" a="1"/>
  <c r="F73" i="1" s="1"/>
  <c r="G72" i="1" a="1"/>
  <c r="G72" i="1" s="1"/>
  <c r="H72" i="1" s="1"/>
  <c r="I71" i="1"/>
  <c r="E73" i="1" l="1" a="1"/>
  <c r="E73" i="1" s="1"/>
  <c r="F74" i="1" a="1"/>
  <c r="F74" i="1" s="1"/>
  <c r="G73" i="1" a="1"/>
  <c r="G73" i="1" s="1"/>
  <c r="H73" i="1" s="1"/>
  <c r="I72" i="1"/>
  <c r="F75" i="1" l="1" a="1"/>
  <c r="F75" i="1" s="1"/>
  <c r="E74" i="1" a="1"/>
  <c r="E74" i="1" s="1"/>
  <c r="G74" i="1" a="1"/>
  <c r="G74" i="1" s="1"/>
  <c r="H74" i="1" s="1"/>
  <c r="I73" i="1"/>
  <c r="F76" i="1" l="1" a="1"/>
  <c r="F76" i="1" s="1"/>
  <c r="E75" i="1" a="1"/>
  <c r="E75" i="1" s="1"/>
  <c r="G75" i="1" a="1"/>
  <c r="G75" i="1" s="1"/>
  <c r="H75" i="1" s="1"/>
  <c r="I74" i="1"/>
  <c r="F77" i="1" l="1" a="1"/>
  <c r="F77" i="1" s="1"/>
  <c r="E76" i="1" a="1"/>
  <c r="E76" i="1" s="1"/>
  <c r="G76" i="1" a="1"/>
  <c r="G76" i="1" s="1"/>
  <c r="H76" i="1" s="1"/>
  <c r="I75" i="1"/>
  <c r="E77" i="1" l="1" a="1"/>
  <c r="E77" i="1" s="1"/>
  <c r="F78" i="1" a="1"/>
  <c r="F78" i="1" s="1"/>
  <c r="G77" i="1" a="1"/>
  <c r="G77" i="1" s="1"/>
  <c r="H77" i="1" s="1"/>
  <c r="I76" i="1"/>
  <c r="E78" i="1" l="1" a="1"/>
  <c r="E78" i="1" s="1"/>
  <c r="F79" i="1" a="1"/>
  <c r="F79" i="1" s="1"/>
  <c r="G78" i="1" a="1"/>
  <c r="G78" i="1" s="1"/>
  <c r="H78" i="1" s="1"/>
  <c r="I77" i="1"/>
  <c r="E79" i="1" l="1" a="1"/>
  <c r="E79" i="1" s="1"/>
  <c r="F80" i="1" a="1"/>
  <c r="F80" i="1" s="1"/>
  <c r="G79" i="1" a="1"/>
  <c r="G79" i="1" s="1"/>
  <c r="H79" i="1" s="1"/>
  <c r="I78" i="1"/>
  <c r="E80" i="1" l="1" a="1"/>
  <c r="E80" i="1" s="1"/>
  <c r="F81" i="1" a="1"/>
  <c r="F81" i="1" s="1"/>
  <c r="G80" i="1" a="1"/>
  <c r="G80" i="1" s="1"/>
  <c r="H80" i="1" s="1"/>
  <c r="I79" i="1"/>
  <c r="F82" i="1" l="1" a="1"/>
  <c r="F82" i="1" s="1"/>
  <c r="E81" i="1" a="1"/>
  <c r="E81" i="1" s="1"/>
  <c r="G81" i="1" a="1"/>
  <c r="G81" i="1" s="1"/>
  <c r="H81" i="1" s="1"/>
  <c r="I80" i="1"/>
  <c r="F83" i="1" l="1" a="1"/>
  <c r="F83" i="1" s="1"/>
  <c r="E82" i="1" a="1"/>
  <c r="E82" i="1" s="1"/>
  <c r="G82" i="1" a="1"/>
  <c r="G82" i="1" s="1"/>
  <c r="H82" i="1" s="1"/>
  <c r="I81" i="1"/>
  <c r="F84" i="1" l="1" a="1"/>
  <c r="F84" i="1" s="1"/>
  <c r="E83" i="1" a="1"/>
  <c r="E83" i="1" s="1"/>
  <c r="G83" i="1" a="1"/>
  <c r="G83" i="1" s="1"/>
  <c r="H83" i="1" s="1"/>
  <c r="I82" i="1"/>
  <c r="E84" i="1" l="1" a="1"/>
  <c r="E84" i="1" s="1"/>
  <c r="F85" i="1" a="1"/>
  <c r="F85" i="1" s="1"/>
  <c r="G84" i="1" a="1"/>
  <c r="G84" i="1" s="1"/>
  <c r="H84" i="1" s="1"/>
  <c r="I83" i="1"/>
  <c r="E85" i="1" l="1" a="1"/>
  <c r="E85" i="1" s="1"/>
  <c r="F86" i="1" a="1"/>
  <c r="F86" i="1" s="1"/>
  <c r="G85" i="1" a="1"/>
  <c r="G85" i="1" s="1"/>
  <c r="H85" i="1" s="1"/>
  <c r="I84" i="1"/>
  <c r="E86" i="1" l="1" a="1"/>
  <c r="E86" i="1" s="1"/>
  <c r="F87" i="1" a="1"/>
  <c r="F87" i="1" s="1"/>
  <c r="G86" i="1" a="1"/>
  <c r="G86" i="1" s="1"/>
  <c r="H86" i="1" s="1"/>
  <c r="I85" i="1"/>
  <c r="F88" i="1" l="1" a="1"/>
  <c r="F88" i="1" s="1"/>
  <c r="E87" i="1" a="1"/>
  <c r="E87" i="1" s="1"/>
  <c r="G87" i="1" a="1"/>
  <c r="G87" i="1" s="1"/>
  <c r="H87" i="1" s="1"/>
  <c r="I86" i="1"/>
  <c r="F89" i="1" l="1" a="1"/>
  <c r="F89" i="1" s="1"/>
  <c r="E88" i="1" a="1"/>
  <c r="E88" i="1" s="1"/>
  <c r="G88" i="1" a="1"/>
  <c r="G88" i="1" s="1"/>
  <c r="H88" i="1" s="1"/>
  <c r="I87" i="1"/>
  <c r="E89" i="1" l="1" a="1"/>
  <c r="E89" i="1" s="1"/>
  <c r="F90" i="1" a="1"/>
  <c r="F90" i="1" s="1"/>
  <c r="G89" i="1" a="1"/>
  <c r="G89" i="1" s="1"/>
  <c r="H89" i="1" s="1"/>
  <c r="I88" i="1"/>
  <c r="E90" i="1" l="1" a="1"/>
  <c r="E90" i="1" s="1"/>
  <c r="F91" i="1" a="1"/>
  <c r="F91" i="1" s="1"/>
  <c r="G90" i="1" a="1"/>
  <c r="G90" i="1" s="1"/>
  <c r="H90" i="1" s="1"/>
  <c r="I89" i="1"/>
  <c r="E91" i="1" l="1" a="1"/>
  <c r="E91" i="1" s="1"/>
  <c r="F92" i="1" a="1"/>
  <c r="F92" i="1" s="1"/>
  <c r="G91" i="1" a="1"/>
  <c r="G91" i="1" s="1"/>
  <c r="H91" i="1" s="1"/>
  <c r="I90" i="1"/>
  <c r="E92" i="1" l="1" a="1"/>
  <c r="E92" i="1" s="1"/>
  <c r="F93" i="1" a="1"/>
  <c r="F93" i="1" s="1"/>
  <c r="G92" i="1" a="1"/>
  <c r="G92" i="1" s="1"/>
  <c r="H92" i="1" s="1"/>
  <c r="I91" i="1"/>
  <c r="F94" i="1" l="1" a="1"/>
  <c r="F94" i="1" s="1"/>
  <c r="E93" i="1" a="1"/>
  <c r="E93" i="1" s="1"/>
  <c r="G93" i="1" a="1"/>
  <c r="G93" i="1" s="1"/>
  <c r="H93" i="1" s="1"/>
  <c r="I92" i="1"/>
  <c r="F95" i="1" l="1" a="1"/>
  <c r="F95" i="1" s="1"/>
  <c r="E94" i="1" a="1"/>
  <c r="E94" i="1" s="1"/>
  <c r="G94" i="1" a="1"/>
  <c r="G94" i="1" s="1"/>
  <c r="H94" i="1" s="1"/>
  <c r="I93" i="1"/>
  <c r="F96" i="1" l="1" a="1"/>
  <c r="F96" i="1" s="1"/>
  <c r="E95" i="1" a="1"/>
  <c r="E95" i="1" s="1"/>
  <c r="G95" i="1" a="1"/>
  <c r="G95" i="1" s="1"/>
  <c r="H95" i="1" s="1"/>
  <c r="I94" i="1"/>
  <c r="E96" i="1" l="1" a="1"/>
  <c r="E96" i="1" s="1"/>
  <c r="F97" i="1" a="1"/>
  <c r="F97" i="1" s="1"/>
  <c r="G96" i="1" a="1"/>
  <c r="G96" i="1" s="1"/>
  <c r="H96" i="1" s="1"/>
  <c r="I95" i="1"/>
  <c r="E97" i="1" l="1" a="1"/>
  <c r="E97" i="1" s="1"/>
  <c r="F98" i="1" a="1"/>
  <c r="F98" i="1" s="1"/>
  <c r="G97" i="1" a="1"/>
  <c r="G97" i="1" s="1"/>
  <c r="H97" i="1" s="1"/>
  <c r="I96" i="1"/>
  <c r="E98" i="1" l="1" a="1"/>
  <c r="E98" i="1" s="1"/>
  <c r="F99" i="1" a="1"/>
  <c r="F99" i="1" s="1"/>
  <c r="G98" i="1" a="1"/>
  <c r="G98" i="1" s="1"/>
  <c r="H98" i="1" s="1"/>
  <c r="I97" i="1"/>
  <c r="E99" i="1" l="1" a="1"/>
  <c r="E99" i="1" s="1"/>
  <c r="F100" i="1" a="1"/>
  <c r="F100" i="1" s="1"/>
  <c r="G99" i="1" a="1"/>
  <c r="G99" i="1" s="1"/>
  <c r="H99" i="1" s="1"/>
  <c r="I98" i="1"/>
  <c r="F101" i="1" l="1" a="1"/>
  <c r="F101" i="1" s="1"/>
  <c r="E100" i="1" a="1"/>
  <c r="E100" i="1" s="1"/>
  <c r="G100" i="1" a="1"/>
  <c r="G100" i="1" s="1"/>
  <c r="H100" i="1" s="1"/>
  <c r="I99" i="1"/>
  <c r="F102" i="1" l="1" a="1"/>
  <c r="F102" i="1" s="1"/>
  <c r="E101" i="1" a="1"/>
  <c r="E101" i="1" s="1"/>
  <c r="G101" i="1" a="1"/>
  <c r="G101" i="1" s="1"/>
  <c r="H101" i="1" s="1"/>
  <c r="I100" i="1"/>
  <c r="F103" i="1" l="1" a="1"/>
  <c r="F103" i="1" s="1"/>
  <c r="E102" i="1" a="1"/>
  <c r="E102" i="1" s="1"/>
  <c r="G102" i="1" a="1"/>
  <c r="G102" i="1" s="1"/>
  <c r="H102" i="1" s="1"/>
  <c r="I101" i="1"/>
  <c r="E103" i="1" l="1" a="1"/>
  <c r="E103" i="1" s="1"/>
  <c r="F104" i="1" a="1"/>
  <c r="F104" i="1" s="1"/>
  <c r="G103" i="1" a="1"/>
  <c r="G103" i="1" s="1"/>
  <c r="H103" i="1" s="1"/>
  <c r="I102" i="1"/>
  <c r="E104" i="1" l="1" a="1"/>
  <c r="E104" i="1" s="1"/>
  <c r="F105" i="1" a="1"/>
  <c r="F105" i="1" s="1"/>
  <c r="G104" i="1" a="1"/>
  <c r="G104" i="1" s="1"/>
  <c r="H104" i="1" s="1"/>
  <c r="I103" i="1"/>
  <c r="E105" i="1" l="1" a="1"/>
  <c r="E105" i="1" s="1"/>
  <c r="F106" i="1" a="1"/>
  <c r="F106" i="1" s="1"/>
  <c r="G105" i="1" a="1"/>
  <c r="G105" i="1" s="1"/>
  <c r="H105" i="1" s="1"/>
  <c r="I104" i="1"/>
  <c r="E106" i="1" l="1" a="1"/>
  <c r="E106" i="1" s="1"/>
  <c r="F107" i="1" a="1"/>
  <c r="F107" i="1" s="1"/>
  <c r="G106" i="1" a="1"/>
  <c r="G106" i="1" s="1"/>
  <c r="H106" i="1" s="1"/>
  <c r="I105" i="1"/>
  <c r="F108" i="1" l="1" a="1"/>
  <c r="F108" i="1" s="1"/>
  <c r="E107" i="1" a="1"/>
  <c r="E107" i="1" s="1"/>
  <c r="G107" i="1" a="1"/>
  <c r="G107" i="1" s="1"/>
  <c r="H107" i="1" s="1"/>
  <c r="I106" i="1"/>
  <c r="F109" i="1" l="1" a="1"/>
  <c r="F109" i="1" s="1"/>
  <c r="E108" i="1" a="1"/>
  <c r="E108" i="1" s="1"/>
  <c r="G108" i="1" a="1"/>
  <c r="G108" i="1" s="1"/>
  <c r="H108" i="1" s="1"/>
  <c r="I107" i="1"/>
  <c r="E109" i="1" l="1" a="1"/>
  <c r="E109" i="1" s="1"/>
  <c r="F110" i="1" a="1"/>
  <c r="F110" i="1" s="1"/>
  <c r="G109" i="1" a="1"/>
  <c r="G109" i="1" s="1"/>
  <c r="H109" i="1" s="1"/>
  <c r="E110" i="1" s="1" a="1"/>
  <c r="E110" i="1" s="1"/>
  <c r="I108" i="1"/>
  <c r="G110" i="1" l="1" a="1"/>
  <c r="G110" i="1" s="1"/>
  <c r="H110" i="1" s="1"/>
  <c r="O2" i="1" s="1" a="1"/>
  <c r="O2" i="1" s="1"/>
  <c r="I109" i="1"/>
  <c r="I110" i="1" l="1"/>
  <c r="L9" i="1" s="1"/>
  <c r="L10" i="1" s="1"/>
  <c r="L12" i="1" s="1"/>
  <c r="O3" i="1" a="1"/>
  <c r="O3" i="1" s="1"/>
  <c r="O4" i="1" s="1"/>
  <c r="L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<sst xmlns="http://schemas.openxmlformats.org/spreadsheetml/2006/main" count="42" uniqueCount="41">
  <si>
    <t>reszty</t>
  </si>
  <si>
    <t>X_t</t>
  </si>
  <si>
    <t>E(X_t)</t>
  </si>
  <si>
    <t>var(X_t)</t>
  </si>
  <si>
    <t>P(X_t&gt;0)</t>
  </si>
  <si>
    <t>ro2</t>
  </si>
  <si>
    <t>ro1</t>
  </si>
  <si>
    <t>ro3</t>
  </si>
  <si>
    <t>ro4</t>
  </si>
  <si>
    <t>ro5</t>
  </si>
  <si>
    <t>ro6</t>
  </si>
  <si>
    <t>ro7</t>
  </si>
  <si>
    <t>ro9</t>
  </si>
  <si>
    <t>ro10</t>
  </si>
  <si>
    <t>Współczynniki autokorelacji (obliczone na podstawie oszacowanych parametrów modelu)</t>
  </si>
  <si>
    <t>parametry modelu</t>
  </si>
  <si>
    <t>oszacowane wartości</t>
  </si>
  <si>
    <t>prognozy</t>
  </si>
  <si>
    <t>h</t>
  </si>
  <si>
    <t>wariancje błędów prognoz</t>
  </si>
  <si>
    <t>przedział ufności - dół</t>
  </si>
  <si>
    <t>przedział ufności - góra</t>
  </si>
  <si>
    <t>alfa</t>
  </si>
  <si>
    <t>ARMA(1,2)</t>
  </si>
  <si>
    <t>Indeks (t)</t>
  </si>
  <si>
    <t>Y_t-1</t>
  </si>
  <si>
    <t>e_t-1</t>
  </si>
  <si>
    <t>e_t-2</t>
  </si>
  <si>
    <t>Y_hat</t>
  </si>
  <si>
    <t>e_t</t>
  </si>
  <si>
    <t>e_t^2</t>
  </si>
  <si>
    <t>c (const)</t>
  </si>
  <si>
    <t>phi1</t>
  </si>
  <si>
    <t>theta1</t>
  </si>
  <si>
    <t>theta2</t>
  </si>
  <si>
    <t>Komórki pomocnicze</t>
  </si>
  <si>
    <t>SSR</t>
  </si>
  <si>
    <t>sigma2</t>
  </si>
  <si>
    <t>AIC</t>
  </si>
  <si>
    <t>BIC</t>
  </si>
  <si>
    <t>LastRow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</si>
</sst>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Z110"/>
  <sheetViews>
    <sheetView tabSelected="1" workbookViewId="0"/>
  </sheetViews>
  <sheetFormatPr defaultRowHeight="14.4" x14ac:dyDescent="0.3"/>
  <cols>
    <col min="2" max="3" width="8.88671875" style="2"/>
    <col min="4" max="5" width="8.88671875" style="11"/>
    <col min="6" max="8" width="8.88671875" style="2"/>
    <col min="9" max="9" width="9.109375" style="2" bestFit="1" customWidth="1"/>
    <col min="10" max="26" width="8.88671875" style="2"/>
  </cols>
  <sheetData>
    <row r="1" spans="1:26" s="4" customFormat="1" ht="73.2" customHeight="1" x14ac:dyDescent="0.3">
      <c r="A1" s="4" t="s">
        <v>24</v>
      </c>
      <c r="B1" s="3" t="s">
        <v>1</v>
      </c>
      <c r="C1" s="6" t="s">
        <v>0</v>
      </c>
      <c r="D1" s="10" t="s">
        <v>25</v>
      </c>
      <c r="E1" s="10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K1" s="4" t="s">
        <v>15</v>
      </c>
      <c r="L1" s="4" t="s">
        <v>16</v>
      </c>
      <c r="N1" s="4" t="s">
        <v>18</v>
      </c>
      <c r="O1" s="4" t="s">
        <v>17</v>
      </c>
      <c r="P1" s="4" t="s">
        <v>19</v>
      </c>
      <c r="Q1" s="4" t="s">
        <v>20</v>
      </c>
      <c r="R1" s="4" t="s">
        <v>21</v>
      </c>
      <c r="W1" s="9" t="s">
        <v>14</v>
      </c>
      <c r="X1" s="9"/>
      <c r="Y1" s="9"/>
      <c r="Z1" s="9"/>
    </row>
    <row r="2" spans="1:26" x14ac:dyDescent="0.3">
      <c r="A2">
        <v>1</v>
      </c>
      <c r="B2" s="1">
        <v>2.3467020839300034E-2</v>
      </c>
      <c r="C2" s="5">
        <f>H2</f>
        <v>2.3467020839300034E-2</v>
      </c>
      <c r="G2" s="2" cm="1">
        <f t="array" ref="G2">IF($B2="","",
 $L$2
 + $L$3 * IF(ROW()-1&gt;=2, INDEX($B:$B, ROW()-1), 0)
 + $L$4 * IF(ROW()-1&gt;=2, INDEX($H:$H, ROW()-1), 0)
 + $L$5 * IF(ROW()-2&gt;=2, INDEX($H:$H, ROW()-2), 0)
)</f>
        <v>0</v>
      </c>
      <c r="H2" s="2">
        <f>IF($B2="","", $B2 - G2)</f>
        <v>2.3467020839300034E-2</v>
      </c>
      <c r="I2" s="2">
        <f>IF(H2="","", H2^2)</f>
        <v>5.5070106707214201E-4</v>
      </c>
      <c r="K2" s="2" t="s">
        <v>31</v>
      </c>
      <c r="L2" s="5">
        <v>0</v>
      </c>
      <c r="N2" s="2">
        <v>1</v>
      </c>
      <c r="O2" s="5" cm="1">
        <f t="array" ref="O2" xml:space="preserve"> $L$2
+ $L$3 * INDEX($B:$B, $L$13)
+ $L$4 * INDEX($H:$H, $L$13)
+ $L$5 * INDEX($H:$H, $L$13-1)</f>
        <v>-2.1328902369940851E-3</v>
      </c>
      <c r="P2" s="7"/>
      <c r="Q2" s="7"/>
      <c r="R2" s="7"/>
      <c r="T2" s="2" t="s">
        <v>2</v>
      </c>
      <c r="U2" s="7"/>
      <c r="X2" s="2" t="s">
        <v>6</v>
      </c>
      <c r="Y2" s="7"/>
    </row>
    <row r="3" spans="1:26" x14ac:dyDescent="0.3">
      <c r="A3">
        <f>A2+1</f>
        <v>2</v>
      </c>
      <c r="B3" s="1">
        <v>2.7658835016419023E-3</v>
      </c>
      <c r="C3" s="5">
        <f t="shared" ref="C3:C66" si="0">H3</f>
        <v>7.1433446623447036E-4</v>
      </c>
      <c r="D3" s="11">
        <f>B2</f>
        <v>2.3467020839300034E-2</v>
      </c>
      <c r="E3" s="11" cm="1">
        <f t="array" ref="E3">IF(ROW()-1&lt;2, 0, INDEX($H:$H, ROW()-1))</f>
        <v>2.3467020839300034E-2</v>
      </c>
      <c r="G3" s="2" cm="1">
        <f t="array" ref="G3">IF($B3="","",
 $L$2
 + $L$3 * IF(ROW()-1&gt;=2, INDEX($B:$B, ROW()-1), 0)
 + $L$4 * IF(ROW()-1&gt;=2, INDEX($H:$H, ROW()-1), 0)
 + $L$5 * IF(ROW()-2&gt;=2, INDEX($H:$H, ROW()-2), 0)
)</f>
        <v>2.0515490354074319E-3</v>
      </c>
      <c r="H3" s="2">
        <f t="shared" ref="H3:H66" si="1">IF($B3="","", $B3 - G3)</f>
        <v>7.1433446623447036E-4</v>
      </c>
      <c r="I3" s="2">
        <f t="shared" ref="I3:I66" si="2">IF(H3="","", H3^2)</f>
        <v>5.1027372965048573E-7</v>
      </c>
      <c r="K3" s="2" t="s">
        <v>32</v>
      </c>
      <c r="L3" s="5">
        <v>-0.35866338401030345</v>
      </c>
      <c r="N3" s="2">
        <v>2</v>
      </c>
      <c r="O3" s="5" cm="1">
        <f t="array" ref="O3" xml:space="preserve"> $L$2
+ $L$3 * O2
+ $L$5 * INDEX($H:$H, $L$13)</f>
        <v>2.7078663027745825E-3</v>
      </c>
      <c r="P3" s="7"/>
      <c r="Q3" s="7"/>
      <c r="R3" s="7"/>
      <c r="T3" s="2" t="s">
        <v>3</v>
      </c>
      <c r="U3" s="7"/>
      <c r="X3" s="2" t="s">
        <v>5</v>
      </c>
      <c r="Y3" s="7"/>
    </row>
    <row r="4" spans="1:26" x14ac:dyDescent="0.3">
      <c r="A4">
        <f t="shared" ref="A4:A67" si="3">A3+1</f>
        <v>3</v>
      </c>
      <c r="B4" s="1">
        <v>9.8740313462377673E-4</v>
      </c>
      <c r="C4" s="5">
        <f t="shared" si="0"/>
        <v>2.8329348347469231E-3</v>
      </c>
      <c r="D4" s="11">
        <f t="shared" ref="D4:D67" si="4">B3</f>
        <v>2.7658835016419023E-3</v>
      </c>
      <c r="E4" s="11" cm="1">
        <f t="array" ref="E4">IF(ROW()-1&lt;2, 0, INDEX($H:$H, ROW()-1))</f>
        <v>7.1433446623447036E-4</v>
      </c>
      <c r="F4" s="11" cm="1">
        <f t="array" ref="F4">IF(ROW()-2&lt;2, 0, INDEX($H:$H, ROW()-2))</f>
        <v>2.3467020839300034E-2</v>
      </c>
      <c r="G4" s="2" cm="1">
        <f t="array" ref="G4">IF($B4="","",
 $L$2
 + $L$3 * IF(ROW()-1&gt;=2, INDEX($B:$B, ROW()-1), 0)
 + $L$4 * IF(ROW()-1&gt;=2, INDEX($H:$H, ROW()-1), 0)
 + $L$5 * IF(ROW()-2&gt;=2, INDEX($H:$H, ROW()-2), 0)
)</f>
        <v>-1.8455317001231464E-3</v>
      </c>
      <c r="H4" s="2">
        <f t="shared" si="1"/>
        <v>2.8329348347469231E-3</v>
      </c>
      <c r="I4" s="2">
        <f t="shared" si="2"/>
        <v>8.025519777922577E-6</v>
      </c>
      <c r="K4" s="2" t="s">
        <v>33</v>
      </c>
      <c r="L4" s="5">
        <v>0.44608602915372614</v>
      </c>
      <c r="N4" s="2">
        <v>3</v>
      </c>
      <c r="O4" s="5">
        <f xml:space="preserve"> $L$2 + $L$3 * O3</f>
        <v>-9.7121249160060077E-4</v>
      </c>
      <c r="P4" s="7"/>
      <c r="Q4" s="7"/>
      <c r="R4" s="7"/>
      <c r="T4" s="2" t="s">
        <v>4</v>
      </c>
      <c r="U4" s="7"/>
      <c r="X4" s="2" t="s">
        <v>7</v>
      </c>
      <c r="Y4" s="7"/>
    </row>
    <row r="5" spans="1:26" x14ac:dyDescent="0.3">
      <c r="A5">
        <f t="shared" si="3"/>
        <v>4</v>
      </c>
      <c r="B5" s="1">
        <v>-1.2120071009030916E-2</v>
      </c>
      <c r="C5" s="5">
        <f t="shared" si="0"/>
        <v>-1.2993977684631779E-2</v>
      </c>
      <c r="D5" s="11">
        <f t="shared" si="4"/>
        <v>9.8740313462377673E-4</v>
      </c>
      <c r="E5" s="11" cm="1">
        <f t="array" ref="E5">IF(ROW()-1&lt;2, 0, INDEX($H:$H, ROW()-1))</f>
        <v>2.8329348347469231E-3</v>
      </c>
      <c r="F5" s="11" cm="1">
        <f t="array" ref="F5">IF(ROW()-2&lt;2, 0, INDEX($H:$H, ROW()-2))</f>
        <v>7.1433446623447036E-4</v>
      </c>
      <c r="G5" s="2" cm="1">
        <f t="array" ref="G5">IF($B5="","",
 $L$2
 + $L$3 * IF(ROW()-1&gt;=2, INDEX($B:$B, ROW()-1), 0)
 + $L$4 * IF(ROW()-1&gt;=2, INDEX($H:$H, ROW()-1), 0)
 + $L$5 * IF(ROW()-2&gt;=2, INDEX($H:$H, ROW()-2), 0)
)</f>
        <v>8.7390667560086207E-4</v>
      </c>
      <c r="H5" s="2">
        <f t="shared" si="1"/>
        <v>-1.2993977684631779E-2</v>
      </c>
      <c r="I5" s="2">
        <f t="shared" si="2"/>
        <v>1.6884345606870863E-4</v>
      </c>
      <c r="K5" s="2" t="s">
        <v>34</v>
      </c>
      <c r="L5" s="5">
        <v>-4.9949467263145718E-2</v>
      </c>
      <c r="X5" s="2" t="s">
        <v>8</v>
      </c>
      <c r="Y5" s="7"/>
    </row>
    <row r="6" spans="1:26" x14ac:dyDescent="0.3">
      <c r="A6">
        <f t="shared" si="3"/>
        <v>5</v>
      </c>
      <c r="B6" s="1">
        <v>1.1064622061907375E-2</v>
      </c>
      <c r="C6" s="5">
        <f t="shared" si="0"/>
        <v>1.2655531873399508E-2</v>
      </c>
      <c r="D6" s="11">
        <f t="shared" si="4"/>
        <v>-1.2120071009030916E-2</v>
      </c>
      <c r="E6" s="11" cm="1">
        <f t="array" ref="E6">IF(ROW()-1&lt;2, 0, INDEX($H:$H, ROW()-1))</f>
        <v>-1.2993977684631779E-2</v>
      </c>
      <c r="F6" s="11" cm="1">
        <f t="array" ref="F6">IF(ROW()-2&lt;2, 0, INDEX($H:$H, ROW()-2))</f>
        <v>2.8329348347469231E-3</v>
      </c>
      <c r="G6" s="2" cm="1">
        <f t="array" ref="G6">IF($B6="","",
 $L$2
 + $L$3 * IF(ROW()-1&gt;=2, INDEX($B:$B, ROW()-1), 0)
 + $L$4 * IF(ROW()-1&gt;=2, INDEX($H:$H, ROW()-1), 0)
 + $L$5 * IF(ROW()-2&gt;=2, INDEX($H:$H, ROW()-2), 0)
)</f>
        <v>-1.5909098114921332E-3</v>
      </c>
      <c r="H6" s="2">
        <f t="shared" si="1"/>
        <v>1.2655531873399508E-2</v>
      </c>
      <c r="I6" s="2">
        <f t="shared" si="2"/>
        <v>1.6016248699863086E-4</v>
      </c>
      <c r="X6" s="2" t="s">
        <v>9</v>
      </c>
      <c r="Y6" s="7"/>
    </row>
    <row r="7" spans="1:26" x14ac:dyDescent="0.3">
      <c r="A7">
        <f t="shared" si="3"/>
        <v>6</v>
      </c>
      <c r="B7" s="1">
        <v>5.8250591284425704E-3</v>
      </c>
      <c r="C7" s="5">
        <f t="shared" si="0"/>
        <v>3.4990356967515668E-3</v>
      </c>
      <c r="D7" s="11">
        <f t="shared" si="4"/>
        <v>1.1064622061907375E-2</v>
      </c>
      <c r="E7" s="11" cm="1">
        <f t="array" ref="E7">IF(ROW()-1&lt;2, 0, INDEX($H:$H, ROW()-1))</f>
        <v>1.2655531873399508E-2</v>
      </c>
      <c r="F7" s="11" cm="1">
        <f t="array" ref="F7">IF(ROW()-2&lt;2, 0, INDEX($H:$H, ROW()-2))</f>
        <v>-1.2993977684631779E-2</v>
      </c>
      <c r="G7" s="2" cm="1">
        <f t="array" ref="G7">IF($B7="","",
 $L$2
 + $L$3 * IF(ROW()-1&gt;=2, INDEX($B:$B, ROW()-1), 0)
 + $L$4 * IF(ROW()-1&gt;=2, INDEX($H:$H, ROW()-1), 0)
 + $L$5 * IF(ROW()-2&gt;=2, INDEX($H:$H, ROW()-2), 0)
)</f>
        <v>2.3260234316910037E-3</v>
      </c>
      <c r="H7" s="2">
        <f t="shared" si="1"/>
        <v>3.4990356967515668E-3</v>
      </c>
      <c r="I7" s="2">
        <f t="shared" si="2"/>
        <v>1.2243250807141722E-5</v>
      </c>
      <c r="X7" s="2" t="s">
        <v>10</v>
      </c>
      <c r="Y7" s="7"/>
    </row>
    <row r="8" spans="1:26" x14ac:dyDescent="0.3">
      <c r="A8">
        <f t="shared" si="3"/>
        <v>7</v>
      </c>
      <c r="B8" s="1">
        <v>-3.0842108710786124E-3</v>
      </c>
      <c r="C8" s="5">
        <f t="shared" si="0"/>
        <v>-1.9237093168342732E-3</v>
      </c>
      <c r="D8" s="11">
        <f t="shared" si="4"/>
        <v>5.8250591284425704E-3</v>
      </c>
      <c r="E8" s="11" cm="1">
        <f t="array" ref="E8">IF(ROW()-1&lt;2, 0, INDEX($H:$H, ROW()-1))</f>
        <v>3.4990356967515668E-3</v>
      </c>
      <c r="F8" s="11" cm="1">
        <f t="array" ref="F8">IF(ROW()-2&lt;2, 0, INDEX($H:$H, ROW()-2))</f>
        <v>1.2655531873399508E-2</v>
      </c>
      <c r="G8" s="2" cm="1">
        <f t="array" ref="G8">IF($B8="","",
 $L$2
 + $L$3 * IF(ROW()-1&gt;=2, INDEX($B:$B, ROW()-1), 0)
 + $L$4 * IF(ROW()-1&gt;=2, INDEX($H:$H, ROW()-1), 0)
 + $L$5 * IF(ROW()-2&gt;=2, INDEX($H:$H, ROW()-2), 0)
)</f>
        <v>-1.1605015542443392E-3</v>
      </c>
      <c r="H8" s="2">
        <f t="shared" si="1"/>
        <v>-1.9237093168342732E-3</v>
      </c>
      <c r="I8" s="2">
        <f t="shared" si="2"/>
        <v>3.7006575356749864E-6</v>
      </c>
      <c r="K8" s="2" t="s">
        <v>35</v>
      </c>
      <c r="X8" s="2" t="s">
        <v>11</v>
      </c>
      <c r="Y8" s="7"/>
    </row>
    <row r="9" spans="1:26" x14ac:dyDescent="0.3">
      <c r="A9">
        <f t="shared" si="3"/>
        <v>8</v>
      </c>
      <c r="B9" s="1">
        <v>-3.6258654292433056E-3</v>
      </c>
      <c r="C9" s="5">
        <f t="shared" si="0"/>
        <v>-3.6991441178856276E-3</v>
      </c>
      <c r="D9" s="11">
        <f t="shared" si="4"/>
        <v>-3.0842108710786124E-3</v>
      </c>
      <c r="E9" s="11" cm="1">
        <f t="array" ref="E9">IF(ROW()-1&lt;2, 0, INDEX($H:$H, ROW()-1))</f>
        <v>-1.9237093168342732E-3</v>
      </c>
      <c r="F9" s="11" cm="1">
        <f t="array" ref="F9">IF(ROW()-2&lt;2, 0, INDEX($H:$H, ROW()-2))</f>
        <v>3.4990356967515668E-3</v>
      </c>
      <c r="G9" s="2" cm="1">
        <f t="array" ref="G9">IF($B9="","",
 $L$2
 + $L$3 * IF(ROW()-1&gt;=2, INDEX($B:$B, ROW()-1), 0)
 + $L$4 * IF(ROW()-1&gt;=2, INDEX($H:$H, ROW()-1), 0)
 + $L$5 * IF(ROW()-2&gt;=2, INDEX($H:$H, ROW()-2), 0)
)</f>
        <v>7.3278688642322012E-5</v>
      </c>
      <c r="H9" s="2">
        <f t="shared" si="1"/>
        <v>-3.6991441178856276E-3</v>
      </c>
      <c r="I9" s="2">
        <f t="shared" si="2"/>
        <v>1.3683667204887838E-5</v>
      </c>
      <c r="K9" s="2" t="s">
        <v>36</v>
      </c>
      <c r="L9" s="2">
        <f>SUM(I2:I110)</f>
        <v>4.5132250142427673E-2</v>
      </c>
      <c r="O9" s="2" t="s">
        <v>23</v>
      </c>
      <c r="X9" s="2" t="s">
        <v>10</v>
      </c>
      <c r="Y9" s="7"/>
    </row>
    <row r="10" spans="1:26" x14ac:dyDescent="0.3">
      <c r="A10">
        <f t="shared" si="3"/>
        <v>9</v>
      </c>
      <c r="B10" s="1">
        <v>1.6620811935693987E-2</v>
      </c>
      <c r="C10" s="5">
        <f t="shared" si="0"/>
        <v>1.6874395026145551E-2</v>
      </c>
      <c r="D10" s="11">
        <f t="shared" si="4"/>
        <v>-3.6258654292433056E-3</v>
      </c>
      <c r="E10" s="11" cm="1">
        <f t="array" ref="E10">IF(ROW()-1&lt;2, 0, INDEX($H:$H, ROW()-1))</f>
        <v>-3.6991441178856276E-3</v>
      </c>
      <c r="F10" s="11" cm="1">
        <f t="array" ref="F10">IF(ROW()-2&lt;2, 0, INDEX($H:$H, ROW()-2))</f>
        <v>-1.9237093168342732E-3</v>
      </c>
      <c r="G10" s="2" cm="1">
        <f t="array" ref="G10">IF($B10="","",
 $L$2
 + $L$3 * IF(ROW()-1&gt;=2, INDEX($B:$B, ROW()-1), 0)
 + $L$4 * IF(ROW()-1&gt;=2, INDEX($H:$H, ROW()-1), 0)
 + $L$5 * IF(ROW()-2&gt;=2, INDEX($H:$H, ROW()-2), 0)
)</f>
        <v>-2.5358309045156512E-4</v>
      </c>
      <c r="H10" s="2">
        <f t="shared" si="1"/>
        <v>1.6874395026145551E-2</v>
      </c>
      <c r="I10" s="2">
        <f t="shared" si="2"/>
        <v>2.847452074984057E-4</v>
      </c>
      <c r="K10" s="2" t="s">
        <v>37</v>
      </c>
      <c r="L10" s="2">
        <f>IF(COUNTA($B$2:$B$111)=0, "", L9 / (COUNTA($B$2:$B$111)-4))</f>
        <v>4.298309537374064E-4</v>
      </c>
      <c r="X10" s="2" t="s">
        <v>12</v>
      </c>
      <c r="Y10" s="7"/>
    </row>
    <row r="11" spans="1:26" x14ac:dyDescent="0.3">
      <c r="A11">
        <f t="shared" si="3"/>
        <v>10</v>
      </c>
      <c r="B11" s="1">
        <v>-8.4660123164632325E-3</v>
      </c>
      <c r="C11" s="5">
        <f t="shared" si="0"/>
        <v>-1.0216937812211026E-2</v>
      </c>
      <c r="D11" s="11">
        <f t="shared" si="4"/>
        <v>1.6620811935693987E-2</v>
      </c>
      <c r="E11" s="11" cm="1">
        <f t="array" ref="E11">IF(ROW()-1&lt;2, 0, INDEX($H:$H, ROW()-1))</f>
        <v>1.6874395026145551E-2</v>
      </c>
      <c r="F11" s="11" cm="1">
        <f t="array" ref="F11">IF(ROW()-2&lt;2, 0, INDEX($H:$H, ROW()-2))</f>
        <v>-3.6991441178856276E-3</v>
      </c>
      <c r="G11" s="2" cm="1">
        <f t="array" ref="G11">IF($B11="","",
 $L$2
 + $L$3 * IF(ROW()-1&gt;=2, INDEX($B:$B, ROW()-1), 0)
 + $L$4 * IF(ROW()-1&gt;=2, INDEX($H:$H, ROW()-1), 0)
 + $L$5 * IF(ROW()-2&gt;=2, INDEX($H:$H, ROW()-2), 0)
)</f>
        <v>1.7509254957477939E-3</v>
      </c>
      <c r="H11" s="2">
        <f t="shared" si="1"/>
        <v>-1.0216937812211026E-2</v>
      </c>
      <c r="I11" s="2">
        <f t="shared" si="2"/>
        <v>1.0438581825858743E-4</v>
      </c>
      <c r="K11" s="2" t="s">
        <v>38</v>
      </c>
      <c r="L11" s="2">
        <f>IF(COUNTA($B$2:$B$101)=0,"", COUNTA($B$2:$B$101) * LN( L9 / COUNTA($B$2:$B$101) ) + 2*4 )</f>
        <v>-762.33283932466634</v>
      </c>
      <c r="X11" s="2" t="s">
        <v>13</v>
      </c>
      <c r="Y11" s="7"/>
    </row>
    <row r="12" spans="1:26" x14ac:dyDescent="0.3">
      <c r="A12">
        <f t="shared" si="3"/>
        <v>11</v>
      </c>
      <c r="B12" s="1">
        <v>-4.2097829787132012E-3</v>
      </c>
      <c r="C12" s="5">
        <f t="shared" si="0"/>
        <v>-1.8457313445051911E-3</v>
      </c>
      <c r="D12" s="11">
        <f t="shared" si="4"/>
        <v>-8.4660123164632325E-3</v>
      </c>
      <c r="E12" s="11" cm="1">
        <f t="array" ref="E12">IF(ROW()-1&lt;2, 0, INDEX($H:$H, ROW()-1))</f>
        <v>-1.0216937812211026E-2</v>
      </c>
      <c r="F12" s="11" cm="1">
        <f t="array" ref="F12">IF(ROW()-2&lt;2, 0, INDEX($H:$H, ROW()-2))</f>
        <v>1.6874395026145551E-2</v>
      </c>
      <c r="G12" s="2" cm="1">
        <f t="array" ref="G12">IF($B12="","",
 $L$2
 + $L$3 * IF(ROW()-1&gt;=2, INDEX($B:$B, ROW()-1), 0)
 + $L$4 * IF(ROW()-1&gt;=2, INDEX($H:$H, ROW()-1), 0)
 + $L$5 * IF(ROW()-2&gt;=2, INDEX($H:$H, ROW()-2), 0)
)</f>
        <v>-2.3640516342080102E-3</v>
      </c>
      <c r="H12" s="2">
        <f t="shared" si="1"/>
        <v>-1.8457313445051911E-3</v>
      </c>
      <c r="I12" s="2">
        <f t="shared" si="2"/>
        <v>3.4067241960889402E-6</v>
      </c>
      <c r="K12" s="2" t="s">
        <v>39</v>
      </c>
      <c r="L12" s="2">
        <f>IF(COUNTA($B$2:$B$101)=0,"", COUNTA($B$2:$B$101) * LN( L10 / COUNTA($B$2:$B$101) ) + LN(COUNTA($B$2:$B$111))*4)</f>
        <v>-1216.9634828115022</v>
      </c>
    </row>
    <row r="13" spans="1:26" x14ac:dyDescent="0.3">
      <c r="A13">
        <f t="shared" si="3"/>
        <v>12</v>
      </c>
      <c r="B13" s="1">
        <v>-3.3977768463113798E-3</v>
      </c>
      <c r="C13" s="5">
        <f t="shared" si="0"/>
        <v>-4.5946474898313737E-3</v>
      </c>
      <c r="D13" s="11">
        <f t="shared" si="4"/>
        <v>-4.2097829787132012E-3</v>
      </c>
      <c r="E13" s="11" cm="1">
        <f t="array" ref="E13">IF(ROW()-1&lt;2, 0, INDEX($H:$H, ROW()-1))</f>
        <v>-1.8457313445051911E-3</v>
      </c>
      <c r="F13" s="11" cm="1">
        <f t="array" ref="F13">IF(ROW()-2&lt;2, 0, INDEX($H:$H, ROW()-2))</f>
        <v>-1.0216937812211026E-2</v>
      </c>
      <c r="G13" s="2" cm="1">
        <f t="array" ref="G13">IF($B13="","",
 $L$2
 + $L$3 * IF(ROW()-1&gt;=2, INDEX($B:$B, ROW()-1), 0)
 + $L$4 * IF(ROW()-1&gt;=2, INDEX($H:$H, ROW()-1), 0)
 + $L$5 * IF(ROW()-2&gt;=2, INDEX($H:$H, ROW()-2), 0)
)</f>
        <v>1.1968706435199936E-3</v>
      </c>
      <c r="H13" s="2">
        <f t="shared" si="1"/>
        <v>-4.5946474898313737E-3</v>
      </c>
      <c r="I13" s="2">
        <f t="shared" si="2"/>
        <v>2.1110785555813743E-5</v>
      </c>
      <c r="K13" s="2" t="s">
        <v>40</v>
      </c>
      <c r="L13" s="2">
        <f>IFERROR(MATCH(9.9E+307,$B:$B), "")</f>
        <v>110</v>
      </c>
    </row>
    <row r="14" spans="1:26" x14ac:dyDescent="0.3">
      <c r="A14">
        <f t="shared" si="3"/>
        <v>13</v>
      </c>
      <c r="B14" s="1">
        <v>-2.7137018740679326E-2</v>
      </c>
      <c r="C14" s="5">
        <f t="shared" si="0"/>
        <v>-2.6398262125758132E-2</v>
      </c>
      <c r="D14" s="11">
        <f t="shared" si="4"/>
        <v>-3.3977768463113798E-3</v>
      </c>
      <c r="E14" s="11" cm="1">
        <f t="array" ref="E14">IF(ROW()-1&lt;2, 0, INDEX($H:$H, ROW()-1))</f>
        <v>-4.5946474898313737E-3</v>
      </c>
      <c r="F14" s="11" cm="1">
        <f t="array" ref="F14">IF(ROW()-2&lt;2, 0, INDEX($H:$H, ROW()-2))</f>
        <v>-1.8457313445051911E-3</v>
      </c>
      <c r="G14" s="2" cm="1">
        <f t="array" ref="G14">IF($B14="","",
 $L$2
 + $L$3 * IF(ROW()-1&gt;=2, INDEX($B:$B, ROW()-1), 0)
 + $L$4 * IF(ROW()-1&gt;=2, INDEX($H:$H, ROW()-1), 0)
 + $L$5 * IF(ROW()-2&gt;=2, INDEX($H:$H, ROW()-2), 0)
)</f>
        <v>-7.3875661492119266E-4</v>
      </c>
      <c r="H14" s="2">
        <f t="shared" si="1"/>
        <v>-2.6398262125758132E-2</v>
      </c>
      <c r="I14" s="2">
        <f t="shared" si="2"/>
        <v>6.9686824326023629E-4</v>
      </c>
    </row>
    <row r="15" spans="1:26" x14ac:dyDescent="0.3">
      <c r="A15">
        <f t="shared" si="3"/>
        <v>14</v>
      </c>
      <c r="B15" s="1">
        <v>-4.1585945777909708E-2</v>
      </c>
      <c r="C15" s="5">
        <f t="shared" si="0"/>
        <v>-3.9772605017533158E-2</v>
      </c>
      <c r="D15" s="11">
        <f t="shared" si="4"/>
        <v>-2.7137018740679326E-2</v>
      </c>
      <c r="E15" s="11" cm="1">
        <f t="array" ref="E15">IF(ROW()-1&lt;2, 0, INDEX($H:$H, ROW()-1))</f>
        <v>-2.6398262125758132E-2</v>
      </c>
      <c r="F15" s="11" cm="1">
        <f t="array" ref="F15">IF(ROW()-2&lt;2, 0, INDEX($H:$H, ROW()-2))</f>
        <v>-4.5946474898313737E-3</v>
      </c>
      <c r="G15" s="2" cm="1">
        <f t="array" ref="G15">IF($B15="","",
 $L$2
 + $L$3 * IF(ROW()-1&gt;=2, INDEX($B:$B, ROW()-1), 0)
 + $L$4 * IF(ROW()-1&gt;=2, INDEX($H:$H, ROW()-1), 0)
 + $L$5 * IF(ROW()-2&gt;=2, INDEX($H:$H, ROW()-2), 0)
)</f>
        <v>-1.8133407603765504E-3</v>
      </c>
      <c r="H15" s="2">
        <f t="shared" si="1"/>
        <v>-3.9772605017533158E-2</v>
      </c>
      <c r="I15" s="2">
        <f t="shared" si="2"/>
        <v>1.5818601098807037E-3</v>
      </c>
    </row>
    <row r="16" spans="1:26" x14ac:dyDescent="0.3">
      <c r="A16">
        <f t="shared" si="3"/>
        <v>15</v>
      </c>
      <c r="B16" s="1">
        <v>1.0674632906882054E-2</v>
      </c>
      <c r="C16" s="5">
        <f t="shared" si="0"/>
        <v>1.2182701178424403E-2</v>
      </c>
      <c r="D16" s="11">
        <f t="shared" si="4"/>
        <v>-4.1585945777909708E-2</v>
      </c>
      <c r="E16" s="11" cm="1">
        <f t="array" ref="E16">IF(ROW()-1&lt;2, 0, INDEX($H:$H, ROW()-1))</f>
        <v>-3.9772605017533158E-2</v>
      </c>
      <c r="F16" s="11" cm="1">
        <f t="array" ref="F16">IF(ROW()-2&lt;2, 0, INDEX($H:$H, ROW()-2))</f>
        <v>-2.6398262125758132E-2</v>
      </c>
      <c r="G16" s="2" cm="1">
        <f t="array" ref="G16">IF($B16="","",
 $L$2
 + $L$3 * IF(ROW()-1&gt;=2, INDEX($B:$B, ROW()-1), 0)
 + $L$4 * IF(ROW()-1&gt;=2, INDEX($H:$H, ROW()-1), 0)
 + $L$5 * IF(ROW()-2&gt;=2, INDEX($H:$H, ROW()-2), 0)
)</f>
        <v>-1.5080682715423491E-3</v>
      </c>
      <c r="H16" s="2">
        <f t="shared" si="1"/>
        <v>1.2182701178424403E-2</v>
      </c>
      <c r="I16" s="2">
        <f t="shared" si="2"/>
        <v>1.4841820800278333E-4</v>
      </c>
      <c r="K16" s="2" t="s">
        <v>22</v>
      </c>
      <c r="L16" s="8">
        <v>0.05</v>
      </c>
    </row>
    <row r="17" spans="1:9" x14ac:dyDescent="0.3">
      <c r="A17">
        <f t="shared" si="3"/>
        <v>16</v>
      </c>
      <c r="B17" s="1">
        <v>2.1523429863242086E-2</v>
      </c>
      <c r="C17" s="5">
        <f t="shared" si="0"/>
        <v>1.7930876599349086E-2</v>
      </c>
      <c r="D17" s="11">
        <f t="shared" si="4"/>
        <v>1.0674632906882054E-2</v>
      </c>
      <c r="E17" s="11" cm="1">
        <f t="array" ref="E17">IF(ROW()-1&lt;2, 0, INDEX($H:$H, ROW()-1))</f>
        <v>1.2182701178424403E-2</v>
      </c>
      <c r="F17" s="11" cm="1">
        <f t="array" ref="F17">IF(ROW()-2&lt;2, 0, INDEX($H:$H, ROW()-2))</f>
        <v>-3.9772605017533158E-2</v>
      </c>
      <c r="G17" s="2" cm="1">
        <f t="array" ref="G17">IF($B17="","",
 $L$2
 + $L$3 * IF(ROW()-1&gt;=2, INDEX($B:$B, ROW()-1), 0)
 + $L$4 * IF(ROW()-1&gt;=2, INDEX($H:$H, ROW()-1), 0)
 + $L$5 * IF(ROW()-2&gt;=2, INDEX($H:$H, ROW()-2), 0)
)</f>
        <v>3.5925532638929995E-3</v>
      </c>
      <c r="H17" s="2">
        <f t="shared" si="1"/>
        <v>1.7930876599349086E-2</v>
      </c>
      <c r="I17" s="2">
        <f t="shared" si="2"/>
        <v>3.2151633562108462E-4</v>
      </c>
    </row>
    <row r="18" spans="1:9" x14ac:dyDescent="0.3">
      <c r="A18">
        <f t="shared" si="3"/>
        <v>17</v>
      </c>
      <c r="B18" s="1">
        <v>1.0710756087116559E-2</v>
      </c>
      <c r="C18" s="5">
        <f t="shared" si="0"/>
        <v>1.1040228169614683E-2</v>
      </c>
      <c r="D18" s="11">
        <f t="shared" si="4"/>
        <v>2.1523429863242086E-2</v>
      </c>
      <c r="E18" s="11" cm="1">
        <f t="array" ref="E18">IF(ROW()-1&lt;2, 0, INDEX($H:$H, ROW()-1))</f>
        <v>1.7930876599349086E-2</v>
      </c>
      <c r="F18" s="11" cm="1">
        <f t="array" ref="F18">IF(ROW()-2&lt;2, 0, INDEX($H:$H, ROW()-2))</f>
        <v>1.2182701178424403E-2</v>
      </c>
      <c r="G18" s="2" cm="1">
        <f t="array" ref="G18">IF($B18="","",
 $L$2
 + $L$3 * IF(ROW()-1&gt;=2, INDEX($B:$B, ROW()-1), 0)
 + $L$4 * IF(ROW()-1&gt;=2, INDEX($H:$H, ROW()-1), 0)
 + $L$5 * IF(ROW()-2&gt;=2, INDEX($H:$H, ROW()-2), 0)
)</f>
        <v>-3.2947208249812414E-4</v>
      </c>
      <c r="H18" s="2">
        <f t="shared" si="1"/>
        <v>1.1040228169614683E-2</v>
      </c>
      <c r="I18" s="2">
        <f t="shared" si="2"/>
        <v>1.2188663803715357E-4</v>
      </c>
    </row>
    <row r="19" spans="1:9" x14ac:dyDescent="0.3">
      <c r="A19">
        <f t="shared" si="3"/>
        <v>18</v>
      </c>
      <c r="B19" s="1">
        <v>-7.2258908258326805E-3</v>
      </c>
      <c r="C19" s="5">
        <f t="shared" si="0"/>
        <v>-7.4135886137543299E-3</v>
      </c>
      <c r="D19" s="11">
        <f t="shared" si="4"/>
        <v>1.0710756087116559E-2</v>
      </c>
      <c r="E19" s="11" cm="1">
        <f t="array" ref="E19">IF(ROW()-1&lt;2, 0, INDEX($H:$H, ROW()-1))</f>
        <v>1.1040228169614683E-2</v>
      </c>
      <c r="F19" s="11" cm="1">
        <f t="array" ref="F19">IF(ROW()-2&lt;2, 0, INDEX($H:$H, ROW()-2))</f>
        <v>1.7930876599349086E-2</v>
      </c>
      <c r="G19" s="2" cm="1">
        <f t="array" ref="G19">IF($B19="","",
 $L$2
 + $L$3 * IF(ROW()-1&gt;=2, INDEX($B:$B, ROW()-1), 0)
 + $L$4 * IF(ROW()-1&gt;=2, INDEX($H:$H, ROW()-1), 0)
 + $L$5 * IF(ROW()-2&gt;=2, INDEX($H:$H, ROW()-2), 0)
)</f>
        <v>1.876977879216496E-4</v>
      </c>
      <c r="H19" s="2">
        <f t="shared" si="1"/>
        <v>-7.4135886137543299E-3</v>
      </c>
      <c r="I19" s="2">
        <f t="shared" si="2"/>
        <v>5.4961296133987847E-5</v>
      </c>
    </row>
    <row r="20" spans="1:9" x14ac:dyDescent="0.3">
      <c r="A20">
        <f t="shared" si="3"/>
        <v>19</v>
      </c>
      <c r="B20" s="1">
        <v>1.4321874811512232E-3</v>
      </c>
      <c r="C20" s="5">
        <f t="shared" si="0"/>
        <v>2.699076847093842E-3</v>
      </c>
      <c r="D20" s="11">
        <f t="shared" si="4"/>
        <v>-7.2258908258326805E-3</v>
      </c>
      <c r="E20" s="11" cm="1">
        <f t="array" ref="E20">IF(ROW()-1&lt;2, 0, INDEX($H:$H, ROW()-1))</f>
        <v>-7.4135886137543299E-3</v>
      </c>
      <c r="F20" s="11" cm="1">
        <f t="array" ref="F20">IF(ROW()-2&lt;2, 0, INDEX($H:$H, ROW()-2))</f>
        <v>1.1040228169614683E-2</v>
      </c>
      <c r="G20" s="2" cm="1">
        <f t="array" ref="G20">IF($B20="","",
 $L$2
 + $L$3 * IF(ROW()-1&gt;=2, INDEX($B:$B, ROW()-1), 0)
 + $L$4 * IF(ROW()-1&gt;=2, INDEX($H:$H, ROW()-1), 0)
 + $L$5 * IF(ROW()-2&gt;=2, INDEX($H:$H, ROW()-2), 0)
)</f>
        <v>-1.2668893659426186E-3</v>
      </c>
      <c r="H20" s="2">
        <f t="shared" si="1"/>
        <v>2.699076847093842E-3</v>
      </c>
      <c r="I20" s="2">
        <f t="shared" si="2"/>
        <v>7.2850158265180353E-6</v>
      </c>
    </row>
    <row r="21" spans="1:9" x14ac:dyDescent="0.3">
      <c r="A21">
        <f t="shared" si="3"/>
        <v>20</v>
      </c>
      <c r="B21" s="1">
        <v>1.5597097685532201E-2</v>
      </c>
      <c r="C21" s="5">
        <f t="shared" si="0"/>
        <v>1.4536445619193089E-2</v>
      </c>
      <c r="D21" s="11">
        <f t="shared" si="4"/>
        <v>1.4321874811512232E-3</v>
      </c>
      <c r="E21" s="11" cm="1">
        <f t="array" ref="E21">IF(ROW()-1&lt;2, 0, INDEX($H:$H, ROW()-1))</f>
        <v>2.699076847093842E-3</v>
      </c>
      <c r="F21" s="11" cm="1">
        <f t="array" ref="F21">IF(ROW()-2&lt;2, 0, INDEX($H:$H, ROW()-2))</f>
        <v>-7.4135886137543299E-3</v>
      </c>
      <c r="G21" s="2" cm="1">
        <f t="array" ref="G21">IF($B21="","",
 $L$2
 + $L$3 * IF(ROW()-1&gt;=2, INDEX($B:$B, ROW()-1), 0)
 + $L$4 * IF(ROW()-1&gt;=2, INDEX($H:$H, ROW()-1), 0)
 + $L$5 * IF(ROW()-2&gt;=2, INDEX($H:$H, ROW()-2), 0)
)</f>
        <v>1.0606520663391122E-3</v>
      </c>
      <c r="H21" s="2">
        <f t="shared" si="1"/>
        <v>1.4536445619193089E-2</v>
      </c>
      <c r="I21" s="2">
        <f t="shared" si="2"/>
        <v>2.1130825123975795E-4</v>
      </c>
    </row>
    <row r="22" spans="1:9" x14ac:dyDescent="0.3">
      <c r="A22">
        <f t="shared" si="3"/>
        <v>21</v>
      </c>
      <c r="B22" s="1">
        <v>9.248900900998662E-3</v>
      </c>
      <c r="C22" s="5">
        <f t="shared" si="0"/>
        <v>8.4933208839706193E-3</v>
      </c>
      <c r="D22" s="11">
        <f t="shared" si="4"/>
        <v>1.5597097685532201E-2</v>
      </c>
      <c r="E22" s="11" cm="1">
        <f t="array" ref="E22">IF(ROW()-1&lt;2, 0, INDEX($H:$H, ROW()-1))</f>
        <v>1.4536445619193089E-2</v>
      </c>
      <c r="F22" s="11" cm="1">
        <f t="array" ref="F22">IF(ROW()-2&lt;2, 0, INDEX($H:$H, ROW()-2))</f>
        <v>2.699076847093842E-3</v>
      </c>
      <c r="G22" s="2" cm="1">
        <f t="array" ref="G22">IF($B22="","",
 $L$2
 + $L$3 * IF(ROW()-1&gt;=2, INDEX($B:$B, ROW()-1), 0)
 + $L$4 * IF(ROW()-1&gt;=2, INDEX($H:$H, ROW()-1), 0)
 + $L$5 * IF(ROW()-2&gt;=2, INDEX($H:$H, ROW()-2), 0)
)</f>
        <v>7.5558001702804287E-4</v>
      </c>
      <c r="H22" s="2">
        <f t="shared" si="1"/>
        <v>8.4933208839706193E-3</v>
      </c>
      <c r="I22" s="2">
        <f t="shared" si="2"/>
        <v>7.2136499638091468E-5</v>
      </c>
    </row>
    <row r="23" spans="1:9" x14ac:dyDescent="0.3">
      <c r="A23">
        <f t="shared" si="3"/>
        <v>22</v>
      </c>
      <c r="B23" s="1">
        <v>-5.8142510718731024E-3</v>
      </c>
      <c r="C23" s="5">
        <f t="shared" si="0"/>
        <v>-5.5596730492254633E-3</v>
      </c>
      <c r="D23" s="11">
        <f t="shared" si="4"/>
        <v>9.248900900998662E-3</v>
      </c>
      <c r="E23" s="11" cm="1">
        <f t="array" ref="E23">IF(ROW()-1&lt;2, 0, INDEX($H:$H, ROW()-1))</f>
        <v>8.4933208839706193E-3</v>
      </c>
      <c r="F23" s="11" cm="1">
        <f t="array" ref="F23">IF(ROW()-2&lt;2, 0, INDEX($H:$H, ROW()-2))</f>
        <v>1.4536445619193089E-2</v>
      </c>
      <c r="G23" s="2" cm="1">
        <f t="array" ref="G23">IF($B23="","",
 $L$2
 + $L$3 * IF(ROW()-1&gt;=2, INDEX($B:$B, ROW()-1), 0)
 + $L$4 * IF(ROW()-1&gt;=2, INDEX($H:$H, ROW()-1), 0)
 + $L$5 * IF(ROW()-2&gt;=2, INDEX($H:$H, ROW()-2), 0)
)</f>
        <v>-2.5457802264763896E-4</v>
      </c>
      <c r="H23" s="2">
        <f t="shared" si="1"/>
        <v>-5.5596730492254633E-3</v>
      </c>
      <c r="I23" s="2">
        <f t="shared" si="2"/>
        <v>3.0909964414283959E-5</v>
      </c>
    </row>
    <row r="24" spans="1:9" x14ac:dyDescent="0.3">
      <c r="A24">
        <f t="shared" si="3"/>
        <v>23</v>
      </c>
      <c r="B24" s="1">
        <v>-5.9663909124351719E-3</v>
      </c>
      <c r="C24" s="5">
        <f t="shared" si="0"/>
        <v>-5.1474205499874547E-3</v>
      </c>
      <c r="D24" s="11">
        <f t="shared" si="4"/>
        <v>-5.8142510718731024E-3</v>
      </c>
      <c r="E24" s="11" cm="1">
        <f t="array" ref="E24">IF(ROW()-1&lt;2, 0, INDEX($H:$H, ROW()-1))</f>
        <v>-5.5596730492254633E-3</v>
      </c>
      <c r="F24" s="11" cm="1">
        <f t="array" ref="F24">IF(ROW()-2&lt;2, 0, INDEX($H:$H, ROW()-2))</f>
        <v>8.4933208839706193E-3</v>
      </c>
      <c r="G24" s="2" cm="1">
        <f t="array" ref="G24">IF($B24="","",
 $L$2
 + $L$3 * IF(ROW()-1&gt;=2, INDEX($B:$B, ROW()-1), 0)
 + $L$4 * IF(ROW()-1&gt;=2, INDEX($H:$H, ROW()-1), 0)
 + $L$5 * IF(ROW()-2&gt;=2, INDEX($H:$H, ROW()-2), 0)
)</f>
        <v>-8.1897036244771683E-4</v>
      </c>
      <c r="H24" s="2">
        <f t="shared" si="1"/>
        <v>-5.1474205499874547E-3</v>
      </c>
      <c r="I24" s="2">
        <f t="shared" si="2"/>
        <v>2.6495938318433152E-5</v>
      </c>
    </row>
    <row r="25" spans="1:9" x14ac:dyDescent="0.3">
      <c r="A25">
        <f t="shared" si="3"/>
        <v>24</v>
      </c>
      <c r="B25" s="1">
        <v>6.1680622322661145E-3</v>
      </c>
      <c r="C25" s="5">
        <f t="shared" si="0"/>
        <v>6.0466259638459049E-3</v>
      </c>
      <c r="D25" s="11">
        <f t="shared" si="4"/>
        <v>-5.9663909124351719E-3</v>
      </c>
      <c r="E25" s="11" cm="1">
        <f t="array" ref="E25">IF(ROW()-1&lt;2, 0, INDEX($H:$H, ROW()-1))</f>
        <v>-5.1474205499874547E-3</v>
      </c>
      <c r="F25" s="11" cm="1">
        <f t="array" ref="F25">IF(ROW()-2&lt;2, 0, INDEX($H:$H, ROW()-2))</f>
        <v>-5.5596730492254633E-3</v>
      </c>
      <c r="G25" s="2" cm="1">
        <f t="array" ref="G25">IF($B25="","",
 $L$2
 + $L$3 * IF(ROW()-1&gt;=2, INDEX($B:$B, ROW()-1), 0)
 + $L$4 * IF(ROW()-1&gt;=2, INDEX($H:$H, ROW()-1), 0)
 + $L$5 * IF(ROW()-2&gt;=2, INDEX($H:$H, ROW()-2), 0)
)</f>
        <v>1.2143626842020934E-4</v>
      </c>
      <c r="H25" s="2">
        <f t="shared" si="1"/>
        <v>6.0466259638459049E-3</v>
      </c>
      <c r="I25" s="2">
        <f t="shared" si="2"/>
        <v>3.6561685546655418E-5</v>
      </c>
    </row>
    <row r="26" spans="1:9" x14ac:dyDescent="0.3">
      <c r="A26">
        <f t="shared" si="3"/>
        <v>25</v>
      </c>
      <c r="B26" s="1">
        <v>8.9675988252789357E-3</v>
      </c>
      <c r="C26" s="5">
        <f t="shared" si="0"/>
        <v>8.2254306180485626E-3</v>
      </c>
      <c r="D26" s="11">
        <f t="shared" si="4"/>
        <v>6.1680622322661145E-3</v>
      </c>
      <c r="E26" s="11" cm="1">
        <f t="array" ref="E26">IF(ROW()-1&lt;2, 0, INDEX($H:$H, ROW()-1))</f>
        <v>6.0466259638459049E-3</v>
      </c>
      <c r="F26" s="11" cm="1">
        <f t="array" ref="F26">IF(ROW()-2&lt;2, 0, INDEX($H:$H, ROW()-2))</f>
        <v>-5.1474205499874547E-3</v>
      </c>
      <c r="G26" s="2" cm="1">
        <f t="array" ref="G26">IF($B26="","",
 $L$2
 + $L$3 * IF(ROW()-1&gt;=2, INDEX($B:$B, ROW()-1), 0)
 + $L$4 * IF(ROW()-1&gt;=2, INDEX($H:$H, ROW()-1), 0)
 + $L$5 * IF(ROW()-2&gt;=2, INDEX($H:$H, ROW()-2), 0)
)</f>
        <v>7.4216820723037248E-4</v>
      </c>
      <c r="H26" s="2">
        <f t="shared" si="1"/>
        <v>8.2254306180485626E-3</v>
      </c>
      <c r="I26" s="2">
        <f t="shared" si="2"/>
        <v>6.7657708852330762E-5</v>
      </c>
    </row>
    <row r="27" spans="1:9" x14ac:dyDescent="0.3">
      <c r="A27">
        <f t="shared" si="3"/>
        <v>26</v>
      </c>
      <c r="B27" s="1">
        <v>2.6127065693383498E-2</v>
      </c>
      <c r="C27" s="5">
        <f t="shared" si="0"/>
        <v>2.5976191097653707E-2</v>
      </c>
      <c r="D27" s="11">
        <f t="shared" si="4"/>
        <v>8.9675988252789357E-3</v>
      </c>
      <c r="E27" s="11" cm="1">
        <f t="array" ref="E27">IF(ROW()-1&lt;2, 0, INDEX($H:$H, ROW()-1))</f>
        <v>8.2254306180485626E-3</v>
      </c>
      <c r="F27" s="11" cm="1">
        <f t="array" ref="F27">IF(ROW()-2&lt;2, 0, INDEX($H:$H, ROW()-2))</f>
        <v>6.0466259638459049E-3</v>
      </c>
      <c r="G27" s="2" cm="1">
        <f t="array" ref="G27">IF($B27="","",
 $L$2
 + $L$3 * IF(ROW()-1&gt;=2, INDEX($B:$B, ROW()-1), 0)
 + $L$4 * IF(ROW()-1&gt;=2, INDEX($H:$H, ROW()-1), 0)
 + $L$5 * IF(ROW()-2&gt;=2, INDEX($H:$H, ROW()-2), 0)
)</f>
        <v>1.5087459572978967E-4</v>
      </c>
      <c r="H27" s="2">
        <f t="shared" si="1"/>
        <v>2.5976191097653707E-2</v>
      </c>
      <c r="I27" s="2">
        <f t="shared" si="2"/>
        <v>6.7476250394182368E-4</v>
      </c>
    </row>
    <row r="28" spans="1:9" x14ac:dyDescent="0.3">
      <c r="A28">
        <f t="shared" si="3"/>
        <v>27</v>
      </c>
      <c r="B28" s="1">
        <v>-1.097311942702627E-3</v>
      </c>
      <c r="C28" s="5">
        <f t="shared" si="0"/>
        <v>-2.9032502087634176E-3</v>
      </c>
      <c r="D28" s="11">
        <f t="shared" si="4"/>
        <v>2.6127065693383498E-2</v>
      </c>
      <c r="E28" s="11" cm="1">
        <f t="array" ref="E28">IF(ROW()-1&lt;2, 0, INDEX($H:$H, ROW()-1))</f>
        <v>2.5976191097653707E-2</v>
      </c>
      <c r="F28" s="11" cm="1">
        <f t="array" ref="F28">IF(ROW()-2&lt;2, 0, INDEX($H:$H, ROW()-2))</f>
        <v>8.2254306180485626E-3</v>
      </c>
      <c r="G28" s="2" cm="1">
        <f t="array" ref="G28">IF($B28="","",
 $L$2
 + $L$3 * IF(ROW()-1&gt;=2, INDEX($B:$B, ROW()-1), 0)
 + $L$4 * IF(ROW()-1&gt;=2, INDEX($H:$H, ROW()-1), 0)
 + $L$5 * IF(ROW()-2&gt;=2, INDEX($H:$H, ROW()-2), 0)
)</f>
        <v>1.8059382660607904E-3</v>
      </c>
      <c r="H28" s="2">
        <f t="shared" si="1"/>
        <v>-2.9032502087634176E-3</v>
      </c>
      <c r="I28" s="2">
        <f t="shared" si="2"/>
        <v>8.4288617746848273E-6</v>
      </c>
    </row>
    <row r="29" spans="1:9" x14ac:dyDescent="0.3">
      <c r="A29">
        <f t="shared" si="3"/>
        <v>28</v>
      </c>
      <c r="B29" s="1">
        <v>-8.9216827145899638E-3</v>
      </c>
      <c r="C29" s="5">
        <f t="shared" si="0"/>
        <v>-6.7226520651541381E-3</v>
      </c>
      <c r="D29" s="11">
        <f t="shared" si="4"/>
        <v>-1.097311942702627E-3</v>
      </c>
      <c r="E29" s="11" cm="1">
        <f t="array" ref="E29">IF(ROW()-1&lt;2, 0, INDEX($H:$H, ROW()-1))</f>
        <v>-2.9032502087634176E-3</v>
      </c>
      <c r="F29" s="11" cm="1">
        <f t="array" ref="F29">IF(ROW()-2&lt;2, 0, INDEX($H:$H, ROW()-2))</f>
        <v>2.5976191097653707E-2</v>
      </c>
      <c r="G29" s="2" cm="1">
        <f t="array" ref="G29">IF($B29="","",
 $L$2
 + $L$3 * IF(ROW()-1&gt;=2, INDEX($B:$B, ROW()-1), 0)
 + $L$4 * IF(ROW()-1&gt;=2, INDEX($H:$H, ROW()-1), 0)
 + $L$5 * IF(ROW()-2&gt;=2, INDEX($H:$H, ROW()-2), 0)
)</f>
        <v>-2.1990306494358261E-3</v>
      </c>
      <c r="H29" s="2">
        <f t="shared" si="1"/>
        <v>-6.7226520651541381E-3</v>
      </c>
      <c r="I29" s="2">
        <f t="shared" si="2"/>
        <v>4.5194050789121201E-5</v>
      </c>
    </row>
    <row r="30" spans="1:9" x14ac:dyDescent="0.3">
      <c r="A30">
        <f t="shared" si="3"/>
        <v>29</v>
      </c>
      <c r="B30" s="1">
        <v>-3.2091642687304904E-2</v>
      </c>
      <c r="C30" s="5">
        <f t="shared" si="0"/>
        <v>-3.2437658236918611E-2</v>
      </c>
      <c r="D30" s="11">
        <f t="shared" si="4"/>
        <v>-8.9216827145899638E-3</v>
      </c>
      <c r="E30" s="11" cm="1">
        <f t="array" ref="E30">IF(ROW()-1&lt;2, 0, INDEX($H:$H, ROW()-1))</f>
        <v>-6.7226520651541381E-3</v>
      </c>
      <c r="F30" s="11" cm="1">
        <f t="array" ref="F30">IF(ROW()-2&lt;2, 0, INDEX($H:$H, ROW()-2))</f>
        <v>-2.9032502087634176E-3</v>
      </c>
      <c r="G30" s="2" cm="1">
        <f t="array" ref="G30">IF($B30="","",
 $L$2
 + $L$3 * IF(ROW()-1&gt;=2, INDEX($B:$B, ROW()-1), 0)
 + $L$4 * IF(ROW()-1&gt;=2, INDEX($H:$H, ROW()-1), 0)
 + $L$5 * IF(ROW()-2&gt;=2, INDEX($H:$H, ROW()-2), 0)
)</f>
        <v>3.4601554961370988E-4</v>
      </c>
      <c r="H30" s="2">
        <f t="shared" si="1"/>
        <v>-3.2437658236918611E-2</v>
      </c>
      <c r="I30" s="2">
        <f t="shared" si="2"/>
        <v>1.0522016718951337E-3</v>
      </c>
    </row>
    <row r="31" spans="1:9" x14ac:dyDescent="0.3">
      <c r="A31">
        <f t="shared" si="3"/>
        <v>30</v>
      </c>
      <c r="B31" s="1">
        <v>1.2341688294547931E-2</v>
      </c>
      <c r="C31" s="5">
        <f t="shared" si="0"/>
        <v>1.4965784398572391E-2</v>
      </c>
      <c r="D31" s="11">
        <f t="shared" si="4"/>
        <v>-3.2091642687304904E-2</v>
      </c>
      <c r="E31" s="11" cm="1">
        <f t="array" ref="E31">IF(ROW()-1&lt;2, 0, INDEX($H:$H, ROW()-1))</f>
        <v>-3.2437658236918611E-2</v>
      </c>
      <c r="F31" s="11" cm="1">
        <f t="array" ref="F31">IF(ROW()-2&lt;2, 0, INDEX($H:$H, ROW()-2))</f>
        <v>-6.7226520651541381E-3</v>
      </c>
      <c r="G31" s="2" cm="1">
        <f t="array" ref="G31">IF($B31="","",
 $L$2
 + $L$3 * IF(ROW()-1&gt;=2, INDEX($B:$B, ROW()-1), 0)
 + $L$4 * IF(ROW()-1&gt;=2, INDEX($H:$H, ROW()-1), 0)
 + $L$5 * IF(ROW()-2&gt;=2, INDEX($H:$H, ROW()-2), 0)
)</f>
        <v>-2.6240961040244603E-3</v>
      </c>
      <c r="H31" s="2">
        <f t="shared" si="1"/>
        <v>1.4965784398572391E-2</v>
      </c>
      <c r="I31" s="2">
        <f t="shared" si="2"/>
        <v>2.2397470266455278E-4</v>
      </c>
    </row>
    <row r="32" spans="1:9" x14ac:dyDescent="0.3">
      <c r="A32">
        <f t="shared" si="3"/>
        <v>31</v>
      </c>
      <c r="B32" s="1">
        <v>2.4268625138694146E-3</v>
      </c>
      <c r="C32" s="5">
        <f t="shared" si="0"/>
        <v>-1.4428968817356918E-3</v>
      </c>
      <c r="D32" s="11">
        <f t="shared" si="4"/>
        <v>1.2341688294547931E-2</v>
      </c>
      <c r="E32" s="11" cm="1">
        <f t="array" ref="E32">IF(ROW()-1&lt;2, 0, INDEX($H:$H, ROW()-1))</f>
        <v>1.4965784398572391E-2</v>
      </c>
      <c r="F32" s="11" cm="1">
        <f t="array" ref="F32">IF(ROW()-2&lt;2, 0, INDEX($H:$H, ROW()-2))</f>
        <v>-3.2437658236918611E-2</v>
      </c>
      <c r="G32" s="2" cm="1">
        <f t="array" ref="G32">IF($B32="","",
 $L$2
 + $L$3 * IF(ROW()-1&gt;=2, INDEX($B:$B, ROW()-1), 0)
 + $L$4 * IF(ROW()-1&gt;=2, INDEX($H:$H, ROW()-1), 0)
 + $L$5 * IF(ROW()-2&gt;=2, INDEX($H:$H, ROW()-2), 0)
)</f>
        <v>3.8697593956051064E-3</v>
      </c>
      <c r="H32" s="2">
        <f t="shared" si="1"/>
        <v>-1.4428968817356918E-3</v>
      </c>
      <c r="I32" s="2">
        <f t="shared" si="2"/>
        <v>2.0819514113225829E-6</v>
      </c>
    </row>
    <row r="33" spans="1:9" x14ac:dyDescent="0.3">
      <c r="A33">
        <f t="shared" si="3"/>
        <v>32</v>
      </c>
      <c r="B33" s="1">
        <v>-1.6232244903057216E-2</v>
      </c>
      <c r="C33" s="5">
        <f t="shared" si="0"/>
        <v>-1.3970629082969503E-2</v>
      </c>
      <c r="D33" s="11">
        <f t="shared" si="4"/>
        <v>2.4268625138694146E-3</v>
      </c>
      <c r="E33" s="11" cm="1">
        <f t="array" ref="E33">IF(ROW()-1&lt;2, 0, INDEX($H:$H, ROW()-1))</f>
        <v>-1.4428968817356918E-3</v>
      </c>
      <c r="F33" s="11" cm="1">
        <f t="array" ref="F33">IF(ROW()-2&lt;2, 0, INDEX($H:$H, ROW()-2))</f>
        <v>1.4965784398572391E-2</v>
      </c>
      <c r="G33" s="2" cm="1">
        <f t="array" ref="G33">IF($B33="","",
 $L$2
 + $L$3 * IF(ROW()-1&gt;=2, INDEX($B:$B, ROW()-1), 0)
 + $L$4 * IF(ROW()-1&gt;=2, INDEX($H:$H, ROW()-1), 0)
 + $L$5 * IF(ROW()-2&gt;=2, INDEX($H:$H, ROW()-2), 0)
)</f>
        <v>-2.2616158200877133E-3</v>
      </c>
      <c r="H33" s="2">
        <f t="shared" si="1"/>
        <v>-1.3970629082969503E-2</v>
      </c>
      <c r="I33" s="2">
        <f t="shared" si="2"/>
        <v>1.9517847697391328E-4</v>
      </c>
    </row>
    <row r="34" spans="1:9" x14ac:dyDescent="0.3">
      <c r="A34">
        <f t="shared" si="3"/>
        <v>33</v>
      </c>
      <c r="B34" s="1">
        <v>-1.7785911173982889E-2</v>
      </c>
      <c r="C34" s="5">
        <f t="shared" si="0"/>
        <v>-1.7447792539154315E-2</v>
      </c>
      <c r="D34" s="11">
        <f t="shared" si="4"/>
        <v>-1.6232244903057216E-2</v>
      </c>
      <c r="E34" s="11" cm="1">
        <f t="array" ref="E34">IF(ROW()-1&lt;2, 0, INDEX($H:$H, ROW()-1))</f>
        <v>-1.3970629082969503E-2</v>
      </c>
      <c r="F34" s="11" cm="1">
        <f t="array" ref="F34">IF(ROW()-2&lt;2, 0, INDEX($H:$H, ROW()-2))</f>
        <v>-1.4428968817356918E-3</v>
      </c>
      <c r="G34" s="2" cm="1">
        <f t="array" ref="G34">IF($B34="","",
 $L$2
 + $L$3 * IF(ROW()-1&gt;=2, INDEX($B:$B, ROW()-1), 0)
 + $L$4 * IF(ROW()-1&gt;=2, INDEX($H:$H, ROW()-1), 0)
 + $L$5 * IF(ROW()-2&gt;=2, INDEX($H:$H, ROW()-2), 0)
)</f>
        <v>-3.381186348285749E-4</v>
      </c>
      <c r="H34" s="2">
        <f t="shared" si="1"/>
        <v>-1.7447792539154315E-2</v>
      </c>
      <c r="I34" s="2">
        <f t="shared" si="2"/>
        <v>3.0442546448936899E-4</v>
      </c>
    </row>
    <row r="35" spans="1:9" x14ac:dyDescent="0.3">
      <c r="A35">
        <f t="shared" si="3"/>
        <v>34</v>
      </c>
      <c r="B35" s="1">
        <v>-2.2595549319261828E-2</v>
      </c>
      <c r="C35" s="5">
        <f t="shared" si="0"/>
        <v>-2.1889313397365179E-2</v>
      </c>
      <c r="D35" s="11">
        <f t="shared" si="4"/>
        <v>-1.7785911173982889E-2</v>
      </c>
      <c r="E35" s="11" cm="1">
        <f t="array" ref="E35">IF(ROW()-1&lt;2, 0, INDEX($H:$H, ROW()-1))</f>
        <v>-1.7447792539154315E-2</v>
      </c>
      <c r="F35" s="11" cm="1">
        <f t="array" ref="F35">IF(ROW()-2&lt;2, 0, INDEX($H:$H, ROW()-2))</f>
        <v>-1.3970629082969503E-2</v>
      </c>
      <c r="G35" s="2" cm="1">
        <f t="array" ref="G35">IF($B35="","",
 $L$2
 + $L$3 * IF(ROW()-1&gt;=2, INDEX($B:$B, ROW()-1), 0)
 + $L$4 * IF(ROW()-1&gt;=2, INDEX($H:$H, ROW()-1), 0)
 + $L$5 * IF(ROW()-2&gt;=2, INDEX($H:$H, ROW()-2), 0)
)</f>
        <v>-7.0623592189664847E-4</v>
      </c>
      <c r="H35" s="2">
        <f t="shared" si="1"/>
        <v>-2.1889313397365179E-2</v>
      </c>
      <c r="I35" s="2">
        <f t="shared" si="2"/>
        <v>4.7914204100807075E-4</v>
      </c>
    </row>
    <row r="36" spans="1:9" x14ac:dyDescent="0.3">
      <c r="A36">
        <f t="shared" si="3"/>
        <v>35</v>
      </c>
      <c r="B36" s="1">
        <v>-1.6954140138846236E-2</v>
      </c>
      <c r="C36" s="5">
        <f t="shared" si="0"/>
        <v>-1.6165327369180946E-2</v>
      </c>
      <c r="D36" s="11">
        <f t="shared" si="4"/>
        <v>-2.2595549319261828E-2</v>
      </c>
      <c r="E36" s="11" cm="1">
        <f t="array" ref="E36">IF(ROW()-1&lt;2, 0, INDEX($H:$H, ROW()-1))</f>
        <v>-2.1889313397365179E-2</v>
      </c>
      <c r="F36" s="11" cm="1">
        <f t="array" ref="F36">IF(ROW()-2&lt;2, 0, INDEX($H:$H, ROW()-2))</f>
        <v>-1.7447792539154315E-2</v>
      </c>
      <c r="G36" s="2" cm="1">
        <f t="array" ref="G36">IF($B36="","",
 $L$2
 + $L$3 * IF(ROW()-1&gt;=2, INDEX($B:$B, ROW()-1), 0)
 + $L$4 * IF(ROW()-1&gt;=2, INDEX($H:$H, ROW()-1), 0)
 + $L$5 * IF(ROW()-2&gt;=2, INDEX($H:$H, ROW()-2), 0)
)</f>
        <v>-7.8881276966528903E-4</v>
      </c>
      <c r="H36" s="2">
        <f t="shared" si="1"/>
        <v>-1.6165327369180946E-2</v>
      </c>
      <c r="I36" s="2">
        <f t="shared" si="2"/>
        <v>2.6131780895279056E-4</v>
      </c>
    </row>
    <row r="37" spans="1:9" x14ac:dyDescent="0.3">
      <c r="A37">
        <f t="shared" si="3"/>
        <v>36</v>
      </c>
      <c r="B37" s="1">
        <v>-9.9150818097445345E-3</v>
      </c>
      <c r="C37" s="5">
        <f t="shared" si="0"/>
        <v>-9.8781439317944912E-3</v>
      </c>
      <c r="D37" s="11">
        <f t="shared" si="4"/>
        <v>-1.6954140138846236E-2</v>
      </c>
      <c r="E37" s="11" cm="1">
        <f t="array" ref="E37">IF(ROW()-1&lt;2, 0, INDEX($H:$H, ROW()-1))</f>
        <v>-1.6165327369180946E-2</v>
      </c>
      <c r="F37" s="11" cm="1">
        <f t="array" ref="F37">IF(ROW()-2&lt;2, 0, INDEX($H:$H, ROW()-2))</f>
        <v>-2.1889313397365179E-2</v>
      </c>
      <c r="G37" s="2" cm="1">
        <f t="array" ref="G37">IF($B37="","",
 $L$2
 + $L$3 * IF(ROW()-1&gt;=2, INDEX($B:$B, ROW()-1), 0)
 + $L$4 * IF(ROW()-1&gt;=2, INDEX($H:$H, ROW()-1), 0)
 + $L$5 * IF(ROW()-2&gt;=2, INDEX($H:$H, ROW()-2), 0)
)</f>
        <v>-3.6937877950042651E-5</v>
      </c>
      <c r="H37" s="2">
        <f t="shared" si="1"/>
        <v>-9.8781439317944912E-3</v>
      </c>
      <c r="I37" s="2">
        <f t="shared" si="2"/>
        <v>9.7577727537248333E-5</v>
      </c>
    </row>
    <row r="38" spans="1:9" x14ac:dyDescent="0.3">
      <c r="A38">
        <f t="shared" si="3"/>
        <v>37</v>
      </c>
      <c r="B38" s="1">
        <v>-7.4904856950698429E-2</v>
      </c>
      <c r="C38" s="5">
        <f t="shared" si="0"/>
        <v>-7.486198123360216E-2</v>
      </c>
      <c r="D38" s="11">
        <f t="shared" si="4"/>
        <v>-9.9150818097445345E-3</v>
      </c>
      <c r="E38" s="11" cm="1">
        <f t="array" ref="E38">IF(ROW()-1&lt;2, 0, INDEX($H:$H, ROW()-1))</f>
        <v>-9.8781439317944912E-3</v>
      </c>
      <c r="F38" s="11" cm="1">
        <f t="array" ref="F38">IF(ROW()-2&lt;2, 0, INDEX($H:$H, ROW()-2))</f>
        <v>-1.6165327369180946E-2</v>
      </c>
      <c r="G38" s="2" cm="1">
        <f t="array" ref="G38">IF($B38="","",
 $L$2
 + $L$3 * IF(ROW()-1&gt;=2, INDEX($B:$B, ROW()-1), 0)
 + $L$4 * IF(ROW()-1&gt;=2, INDEX($H:$H, ROW()-1), 0)
 + $L$5 * IF(ROW()-2&gt;=2, INDEX($H:$H, ROW()-2), 0)
)</f>
        <v>-4.2875717096265017E-5</v>
      </c>
      <c r="H38" s="2">
        <f t="shared" si="1"/>
        <v>-7.486198123360216E-2</v>
      </c>
      <c r="I38" s="2">
        <f t="shared" si="2"/>
        <v>5.6043162342202021E-3</v>
      </c>
    </row>
    <row r="39" spans="1:9" x14ac:dyDescent="0.3">
      <c r="A39">
        <f t="shared" si="3"/>
        <v>38</v>
      </c>
      <c r="B39" s="1">
        <v>3.9656386772854976E-2</v>
      </c>
      <c r="C39" s="5">
        <f t="shared" si="0"/>
        <v>4.5692233216246318E-2</v>
      </c>
      <c r="D39" s="11">
        <f t="shared" si="4"/>
        <v>-7.4904856950698429E-2</v>
      </c>
      <c r="E39" s="11" cm="1">
        <f t="array" ref="E39">IF(ROW()-1&lt;2, 0, INDEX($H:$H, ROW()-1))</f>
        <v>-7.486198123360216E-2</v>
      </c>
      <c r="F39" s="11" cm="1">
        <f t="array" ref="F39">IF(ROW()-2&lt;2, 0, INDEX($H:$H, ROW()-2))</f>
        <v>-9.8781439317944912E-3</v>
      </c>
      <c r="G39" s="2" cm="1">
        <f t="array" ref="G39">IF($B39="","",
 $L$2
 + $L$3 * IF(ROW()-1&gt;=2, INDEX($B:$B, ROW()-1), 0)
 + $L$4 * IF(ROW()-1&gt;=2, INDEX($H:$H, ROW()-1), 0)
 + $L$5 * IF(ROW()-2&gt;=2, INDEX($H:$H, ROW()-2), 0)
)</f>
        <v>-6.035846443391342E-3</v>
      </c>
      <c r="H39" s="2">
        <f t="shared" si="1"/>
        <v>4.5692233216246318E-2</v>
      </c>
      <c r="I39" s="2">
        <f t="shared" si="2"/>
        <v>2.0877801762878433E-3</v>
      </c>
    </row>
    <row r="40" spans="1:9" x14ac:dyDescent="0.3">
      <c r="A40">
        <f t="shared" si="3"/>
        <v>39</v>
      </c>
      <c r="B40" s="1">
        <v>-3.3986726086074621E-2</v>
      </c>
      <c r="C40" s="5">
        <f t="shared" si="0"/>
        <v>-4.3885415167984373E-2</v>
      </c>
      <c r="D40" s="11">
        <f t="shared" si="4"/>
        <v>3.9656386772854976E-2</v>
      </c>
      <c r="E40" s="11" cm="1">
        <f t="array" ref="E40">IF(ROW()-1&lt;2, 0, INDEX($H:$H, ROW()-1))</f>
        <v>4.5692233216246318E-2</v>
      </c>
      <c r="F40" s="11" cm="1">
        <f t="array" ref="F40">IF(ROW()-2&lt;2, 0, INDEX($H:$H, ROW()-2))</f>
        <v>-7.486198123360216E-2</v>
      </c>
      <c r="G40" s="2" cm="1">
        <f t="array" ref="G40">IF($B40="","",
 $L$2
 + $L$3 * IF(ROW()-1&gt;=2, INDEX($B:$B, ROW()-1), 0)
 + $L$4 * IF(ROW()-1&gt;=2, INDEX($H:$H, ROW()-1), 0)
 + $L$5 * IF(ROW()-2&gt;=2, INDEX($H:$H, ROW()-2), 0)
)</f>
        <v>9.8986890819097485E-3</v>
      </c>
      <c r="H40" s="2">
        <f t="shared" si="1"/>
        <v>-4.3885415167984373E-2</v>
      </c>
      <c r="I40" s="2">
        <f t="shared" si="2"/>
        <v>1.9259296644663529E-3</v>
      </c>
    </row>
    <row r="41" spans="1:9" x14ac:dyDescent="0.3">
      <c r="A41">
        <f t="shared" si="3"/>
        <v>40</v>
      </c>
      <c r="B41" s="1">
        <v>-7.3469454255909963E-2</v>
      </c>
      <c r="C41" s="5">
        <f t="shared" si="0"/>
        <v>-6.3800275148108973E-2</v>
      </c>
      <c r="D41" s="11">
        <f t="shared" si="4"/>
        <v>-3.3986726086074621E-2</v>
      </c>
      <c r="E41" s="11" cm="1">
        <f t="array" ref="E41">IF(ROW()-1&lt;2, 0, INDEX($H:$H, ROW()-1))</f>
        <v>-4.3885415167984373E-2</v>
      </c>
      <c r="F41" s="11" cm="1">
        <f t="array" ref="F41">IF(ROW()-2&lt;2, 0, INDEX($H:$H, ROW()-2))</f>
        <v>4.5692233216246318E-2</v>
      </c>
      <c r="G41" s="2" cm="1">
        <f t="array" ref="G41">IF($B41="","",
 $L$2
 + $L$3 * IF(ROW()-1&gt;=2, INDEX($B:$B, ROW()-1), 0)
 + $L$4 * IF(ROW()-1&gt;=2, INDEX($H:$H, ROW()-1), 0)
 + $L$5 * IF(ROW()-2&gt;=2, INDEX($H:$H, ROW()-2), 0)
)</f>
        <v>-9.6691791078009869E-3</v>
      </c>
      <c r="H41" s="2">
        <f t="shared" si="1"/>
        <v>-6.3800275148108973E-2</v>
      </c>
      <c r="I41" s="2">
        <f t="shared" si="2"/>
        <v>4.0704751089744116E-3</v>
      </c>
    </row>
    <row r="42" spans="1:9" x14ac:dyDescent="0.3">
      <c r="A42">
        <f t="shared" si="3"/>
        <v>41</v>
      </c>
      <c r="B42" s="1">
        <v>-8.1341832000141161E-3</v>
      </c>
      <c r="C42" s="5">
        <f t="shared" si="0"/>
        <v>-8.2166279933566788E-3</v>
      </c>
      <c r="D42" s="11">
        <f t="shared" si="4"/>
        <v>-7.3469454255909963E-2</v>
      </c>
      <c r="E42" s="11" cm="1">
        <f t="array" ref="E42">IF(ROW()-1&lt;2, 0, INDEX($H:$H, ROW()-1))</f>
        <v>-6.3800275148108973E-2</v>
      </c>
      <c r="F42" s="11" cm="1">
        <f t="array" ref="F42">IF(ROW()-2&lt;2, 0, INDEX($H:$H, ROW()-2))</f>
        <v>-4.3885415167984373E-2</v>
      </c>
      <c r="G42" s="2" cm="1">
        <f t="array" ref="G42">IF($B42="","",
 $L$2
 + $L$3 * IF(ROW()-1&gt;=2, INDEX($B:$B, ROW()-1), 0)
 + $L$4 * IF(ROW()-1&gt;=2, INDEX($H:$H, ROW()-1), 0)
 + $L$5 * IF(ROW()-2&gt;=2, INDEX($H:$H, ROW()-2), 0)
)</f>
        <v>8.2444793342562744E-5</v>
      </c>
      <c r="H42" s="2">
        <f t="shared" si="1"/>
        <v>-8.2166279933566788E-3</v>
      </c>
      <c r="I42" s="2">
        <f t="shared" si="2"/>
        <v>6.7512975581212603E-5</v>
      </c>
    </row>
    <row r="43" spans="1:9" x14ac:dyDescent="0.3">
      <c r="A43">
        <f t="shared" si="3"/>
        <v>42</v>
      </c>
      <c r="B43" s="1">
        <v>1.0177240373899478E-2</v>
      </c>
      <c r="C43" s="5">
        <f t="shared" si="0"/>
        <v>7.7383399009223275E-3</v>
      </c>
      <c r="D43" s="11">
        <f t="shared" si="4"/>
        <v>-8.1341832000141161E-3</v>
      </c>
      <c r="E43" s="11" cm="1">
        <f t="array" ref="E43">IF(ROW()-1&lt;2, 0, INDEX($H:$H, ROW()-1))</f>
        <v>-8.2166279933566788E-3</v>
      </c>
      <c r="F43" s="11" cm="1">
        <f t="array" ref="F43">IF(ROW()-2&lt;2, 0, INDEX($H:$H, ROW()-2))</f>
        <v>-6.3800275148108973E-2</v>
      </c>
      <c r="G43" s="2" cm="1">
        <f t="array" ref="G43">IF($B43="","",
 $L$2
 + $L$3 * IF(ROW()-1&gt;=2, INDEX($B:$B, ROW()-1), 0)
 + $L$4 * IF(ROW()-1&gt;=2, INDEX($H:$H, ROW()-1), 0)
 + $L$5 * IF(ROW()-2&gt;=2, INDEX($H:$H, ROW()-2), 0)
)</f>
        <v>2.4389004729771504E-3</v>
      </c>
      <c r="H43" s="2">
        <f t="shared" si="1"/>
        <v>7.7383399009223275E-3</v>
      </c>
      <c r="I43" s="2">
        <f t="shared" si="2"/>
        <v>5.9881904422206579E-5</v>
      </c>
    </row>
    <row r="44" spans="1:9" x14ac:dyDescent="0.3">
      <c r="A44">
        <f t="shared" si="3"/>
        <v>43</v>
      </c>
      <c r="B44" s="1">
        <v>-4.0556476344662924E-2</v>
      </c>
      <c r="C44" s="5">
        <f t="shared" si="0"/>
        <v>-4.0768654381885747E-2</v>
      </c>
      <c r="D44" s="11">
        <f t="shared" si="4"/>
        <v>1.0177240373899478E-2</v>
      </c>
      <c r="E44" s="11" cm="1">
        <f t="array" ref="E44">IF(ROW()-1&lt;2, 0, INDEX($H:$H, ROW()-1))</f>
        <v>7.7383399009223275E-3</v>
      </c>
      <c r="F44" s="11" cm="1">
        <f t="array" ref="F44">IF(ROW()-2&lt;2, 0, INDEX($H:$H, ROW()-2))</f>
        <v>-8.2166279933566788E-3</v>
      </c>
      <c r="G44" s="2" cm="1">
        <f t="array" ref="G44">IF($B44="","",
 $L$2
 + $L$3 * IF(ROW()-1&gt;=2, INDEX($B:$B, ROW()-1), 0)
 + $L$4 * IF(ROW()-1&gt;=2, INDEX($H:$H, ROW()-1), 0)
 + $L$5 * IF(ROW()-2&gt;=2, INDEX($H:$H, ROW()-2), 0)
)</f>
        <v>2.1217803722282328E-4</v>
      </c>
      <c r="H44" s="2">
        <f t="shared" si="1"/>
        <v>-4.0768654381885747E-2</v>
      </c>
      <c r="I44" s="2">
        <f t="shared" si="2"/>
        <v>1.662083180109652E-3</v>
      </c>
    </row>
    <row r="45" spans="1:9" x14ac:dyDescent="0.3">
      <c r="A45">
        <f t="shared" si="3"/>
        <v>44</v>
      </c>
      <c r="B45" s="1">
        <v>-3.6863191317690412E-2</v>
      </c>
      <c r="C45" s="5">
        <f t="shared" si="0"/>
        <v>-3.2836461264292752E-2</v>
      </c>
      <c r="D45" s="11">
        <f t="shared" si="4"/>
        <v>-4.0556476344662924E-2</v>
      </c>
      <c r="E45" s="11" cm="1">
        <f t="array" ref="E45">IF(ROW()-1&lt;2, 0, INDEX($H:$H, ROW()-1))</f>
        <v>-4.0768654381885747E-2</v>
      </c>
      <c r="F45" s="11" cm="1">
        <f t="array" ref="F45">IF(ROW()-2&lt;2, 0, INDEX($H:$H, ROW()-2))</f>
        <v>7.7383399009223275E-3</v>
      </c>
      <c r="G45" s="2" cm="1">
        <f t="array" ref="G45">IF($B45="","",
 $L$2
 + $L$3 * IF(ROW()-1&gt;=2, INDEX($B:$B, ROW()-1), 0)
 + $L$4 * IF(ROW()-1&gt;=2, INDEX($H:$H, ROW()-1), 0)
 + $L$5 * IF(ROW()-2&gt;=2, INDEX($H:$H, ROW()-2), 0)
)</f>
        <v>-4.0267300533976588E-3</v>
      </c>
      <c r="H45" s="2">
        <f t="shared" si="1"/>
        <v>-3.2836461264292752E-2</v>
      </c>
      <c r="I45" s="2">
        <f t="shared" si="2"/>
        <v>1.0782331883613984E-3</v>
      </c>
    </row>
    <row r="46" spans="1:9" x14ac:dyDescent="0.3">
      <c r="A46">
        <f t="shared" si="3"/>
        <v>45</v>
      </c>
      <c r="B46" s="1">
        <v>1.788525398724965E-2</v>
      </c>
      <c r="C46" s="5">
        <f t="shared" si="0"/>
        <v>1.727529109326556E-2</v>
      </c>
      <c r="D46" s="11">
        <f t="shared" si="4"/>
        <v>-3.6863191317690412E-2</v>
      </c>
      <c r="E46" s="11" cm="1">
        <f t="array" ref="E46">IF(ROW()-1&lt;2, 0, INDEX($H:$H, ROW()-1))</f>
        <v>-3.2836461264292752E-2</v>
      </c>
      <c r="F46" s="11" cm="1">
        <f t="array" ref="F46">IF(ROW()-2&lt;2, 0, INDEX($H:$H, ROW()-2))</f>
        <v>-4.0768654381885747E-2</v>
      </c>
      <c r="G46" s="2" cm="1">
        <f t="array" ref="G46">IF($B46="","",
 $L$2
 + $L$3 * IF(ROW()-1&gt;=2, INDEX($B:$B, ROW()-1), 0)
 + $L$4 * IF(ROW()-1&gt;=2, INDEX($H:$H, ROW()-1), 0)
 + $L$5 * IF(ROW()-2&gt;=2, INDEX($H:$H, ROW()-2), 0)
)</f>
        <v>6.0996289398409067E-4</v>
      </c>
      <c r="H46" s="2">
        <f t="shared" si="1"/>
        <v>1.727529109326556E-2</v>
      </c>
      <c r="I46" s="2">
        <f t="shared" si="2"/>
        <v>2.9843568235706039E-4</v>
      </c>
    </row>
    <row r="47" spans="1:9" x14ac:dyDescent="0.3">
      <c r="A47">
        <f t="shared" si="3"/>
        <v>46</v>
      </c>
      <c r="B47" s="1">
        <v>6.9185476076715685E-2</v>
      </c>
      <c r="C47" s="5">
        <f t="shared" si="0"/>
        <v>6.625383204243851E-2</v>
      </c>
      <c r="D47" s="11">
        <f t="shared" si="4"/>
        <v>1.788525398724965E-2</v>
      </c>
      <c r="E47" s="11" cm="1">
        <f t="array" ref="E47">IF(ROW()-1&lt;2, 0, INDEX($H:$H, ROW()-1))</f>
        <v>1.727529109326556E-2</v>
      </c>
      <c r="F47" s="11" cm="1">
        <f t="array" ref="F47">IF(ROW()-2&lt;2, 0, INDEX($H:$H, ROW()-2))</f>
        <v>-3.2836461264292752E-2</v>
      </c>
      <c r="G47" s="2" cm="1">
        <f t="array" ref="G47">IF($B47="","",
 $L$2
 + $L$3 * IF(ROW()-1&gt;=2, INDEX($B:$B, ROW()-1), 0)
 + $L$4 * IF(ROW()-1&gt;=2, INDEX($H:$H, ROW()-1), 0)
 + $L$5 * IF(ROW()-2&gt;=2, INDEX($H:$H, ROW()-2), 0)
)</f>
        <v>2.9316440342771772E-3</v>
      </c>
      <c r="H47" s="2">
        <f t="shared" si="1"/>
        <v>6.625383204243851E-2</v>
      </c>
      <c r="I47" s="2">
        <f t="shared" si="2"/>
        <v>4.3895702603076519E-3</v>
      </c>
    </row>
    <row r="48" spans="1:9" x14ac:dyDescent="0.3">
      <c r="A48">
        <f t="shared" si="3"/>
        <v>47</v>
      </c>
      <c r="B48" s="1">
        <v>-1.9933962113894102E-2</v>
      </c>
      <c r="C48" s="5">
        <f t="shared" si="0"/>
        <v>-2.3811682404960278E-2</v>
      </c>
      <c r="D48" s="11">
        <f t="shared" si="4"/>
        <v>6.9185476076715685E-2</v>
      </c>
      <c r="E48" s="11" cm="1">
        <f t="array" ref="E48">IF(ROW()-1&lt;2, 0, INDEX($H:$H, ROW()-1))</f>
        <v>6.625383204243851E-2</v>
      </c>
      <c r="F48" s="11" cm="1">
        <f t="array" ref="F48">IF(ROW()-2&lt;2, 0, INDEX($H:$H, ROW()-2))</f>
        <v>1.727529109326556E-2</v>
      </c>
      <c r="G48" s="2" cm="1">
        <f t="array" ref="G48">IF($B48="","",
 $L$2
 + $L$3 * IF(ROW()-1&gt;=2, INDEX($B:$B, ROW()-1), 0)
 + $L$4 * IF(ROW()-1&gt;=2, INDEX($H:$H, ROW()-1), 0)
 + $L$5 * IF(ROW()-2&gt;=2, INDEX($H:$H, ROW()-2), 0)
)</f>
        <v>3.8777202910661767E-3</v>
      </c>
      <c r="H48" s="2">
        <f t="shared" si="1"/>
        <v>-2.3811682404960278E-2</v>
      </c>
      <c r="I48" s="2">
        <f t="shared" si="2"/>
        <v>5.6699621895469493E-4</v>
      </c>
    </row>
    <row r="49" spans="1:9" x14ac:dyDescent="0.3">
      <c r="A49">
        <f t="shared" si="3"/>
        <v>48</v>
      </c>
      <c r="B49" s="1">
        <v>1.7794171097426113E-2</v>
      </c>
      <c r="C49" s="5">
        <f t="shared" si="0"/>
        <v>2.4575991255083789E-2</v>
      </c>
      <c r="D49" s="11">
        <f t="shared" si="4"/>
        <v>-1.9933962113894102E-2</v>
      </c>
      <c r="E49" s="11" cm="1">
        <f t="array" ref="E49">IF(ROW()-1&lt;2, 0, INDEX($H:$H, ROW()-1))</f>
        <v>-2.3811682404960278E-2</v>
      </c>
      <c r="F49" s="11" cm="1">
        <f t="array" ref="F49">IF(ROW()-2&lt;2, 0, INDEX($H:$H, ROW()-2))</f>
        <v>6.625383204243851E-2</v>
      </c>
      <c r="G49" s="2" cm="1">
        <f t="array" ref="G49">IF($B49="","",
 $L$2
 + $L$3 * IF(ROW()-1&gt;=2, INDEX($B:$B, ROW()-1), 0)
 + $L$4 * IF(ROW()-1&gt;=2, INDEX($H:$H, ROW()-1), 0)
 + $L$5 * IF(ROW()-2&gt;=2, INDEX($H:$H, ROW()-2), 0)
)</f>
        <v>-6.781820157657676E-3</v>
      </c>
      <c r="H49" s="2">
        <f t="shared" si="1"/>
        <v>2.4575991255083789E-2</v>
      </c>
      <c r="I49" s="2">
        <f t="shared" si="2"/>
        <v>6.0397934616995494E-4</v>
      </c>
    </row>
    <row r="50" spans="1:9" x14ac:dyDescent="0.3">
      <c r="A50">
        <f t="shared" si="3"/>
        <v>49</v>
      </c>
      <c r="B50" s="1">
        <v>1.5177630855477459E-2</v>
      </c>
      <c r="C50" s="5">
        <f t="shared" si="0"/>
        <v>9.4073612746746332E-3</v>
      </c>
      <c r="D50" s="11">
        <f t="shared" si="4"/>
        <v>1.7794171097426113E-2</v>
      </c>
      <c r="E50" s="11" cm="1">
        <f t="array" ref="E50">IF(ROW()-1&lt;2, 0, INDEX($H:$H, ROW()-1))</f>
        <v>2.4575991255083789E-2</v>
      </c>
      <c r="F50" s="11" cm="1">
        <f t="array" ref="F50">IF(ROW()-2&lt;2, 0, INDEX($H:$H, ROW()-2))</f>
        <v>-2.3811682404960278E-2</v>
      </c>
      <c r="G50" s="2" cm="1">
        <f t="array" ref="G50">IF($B50="","",
 $L$2
 + $L$3 * IF(ROW()-1&gt;=2, INDEX($B:$B, ROW()-1), 0)
 + $L$4 * IF(ROW()-1&gt;=2, INDEX($H:$H, ROW()-1), 0)
 + $L$5 * IF(ROW()-2&gt;=2, INDEX($H:$H, ROW()-2), 0)
)</f>
        <v>5.7702695808028257E-3</v>
      </c>
      <c r="H50" s="2">
        <f t="shared" si="1"/>
        <v>9.4073612746746332E-3</v>
      </c>
      <c r="I50" s="2">
        <f t="shared" si="2"/>
        <v>8.8498446152247937E-5</v>
      </c>
    </row>
    <row r="51" spans="1:9" x14ac:dyDescent="0.3">
      <c r="A51">
        <f t="shared" si="3"/>
        <v>50</v>
      </c>
      <c r="B51" s="1">
        <v>-6.3215029010834619E-3</v>
      </c>
      <c r="C51" s="5">
        <f t="shared" si="0"/>
        <v>-3.8467772223776987E-3</v>
      </c>
      <c r="D51" s="11">
        <f t="shared" si="4"/>
        <v>1.5177630855477459E-2</v>
      </c>
      <c r="E51" s="11" cm="1">
        <f t="array" ref="E51">IF(ROW()-1&lt;2, 0, INDEX($H:$H, ROW()-1))</f>
        <v>9.4073612746746332E-3</v>
      </c>
      <c r="F51" s="11" cm="1">
        <f t="array" ref="F51">IF(ROW()-2&lt;2, 0, INDEX($H:$H, ROW()-2))</f>
        <v>2.4575991255083789E-2</v>
      </c>
      <c r="G51" s="2" cm="1">
        <f t="array" ref="G51">IF($B51="","",
 $L$2
 + $L$3 * IF(ROW()-1&gt;=2, INDEX($B:$B, ROW()-1), 0)
 + $L$4 * IF(ROW()-1&gt;=2, INDEX($H:$H, ROW()-1), 0)
 + $L$5 * IF(ROW()-2&gt;=2, INDEX($H:$H, ROW()-2), 0)
)</f>
        <v>-2.4747256787057631E-3</v>
      </c>
      <c r="H51" s="2">
        <f t="shared" si="1"/>
        <v>-3.8467772223776987E-3</v>
      </c>
      <c r="I51" s="2">
        <f t="shared" si="2"/>
        <v>1.4797694998603883E-5</v>
      </c>
    </row>
    <row r="52" spans="1:9" x14ac:dyDescent="0.3">
      <c r="A52">
        <f t="shared" si="3"/>
        <v>51</v>
      </c>
      <c r="B52" s="1">
        <v>3.2148666018575453E-2</v>
      </c>
      <c r="C52" s="5">
        <f t="shared" si="0"/>
        <v>3.2067260656233318E-2</v>
      </c>
      <c r="D52" s="11">
        <f t="shared" si="4"/>
        <v>-6.3215029010834619E-3</v>
      </c>
      <c r="E52" s="11" cm="1">
        <f t="array" ref="E52">IF(ROW()-1&lt;2, 0, INDEX($H:$H, ROW()-1))</f>
        <v>-3.8467772223776987E-3</v>
      </c>
      <c r="F52" s="11" cm="1">
        <f t="array" ref="F52">IF(ROW()-2&lt;2, 0, INDEX($H:$H, ROW()-2))</f>
        <v>9.4073612746746332E-3</v>
      </c>
      <c r="G52" s="2" cm="1">
        <f t="array" ref="G52">IF($B52="","",
 $L$2
 + $L$3 * IF(ROW()-1&gt;=2, INDEX($B:$B, ROW()-1), 0)
 + $L$4 * IF(ROW()-1&gt;=2, INDEX($H:$H, ROW()-1), 0)
 + $L$5 * IF(ROW()-2&gt;=2, INDEX($H:$H, ROW()-2), 0)
)</f>
        <v>8.1405362342131882E-5</v>
      </c>
      <c r="H52" s="2">
        <f t="shared" si="1"/>
        <v>3.2067260656233318E-2</v>
      </c>
      <c r="I52" s="2">
        <f t="shared" si="2"/>
        <v>1.0283092059948094E-3</v>
      </c>
    </row>
    <row r="53" spans="1:9" x14ac:dyDescent="0.3">
      <c r="A53">
        <f t="shared" si="3"/>
        <v>52</v>
      </c>
      <c r="B53" s="1">
        <v>6.6111118693576339E-3</v>
      </c>
      <c r="C53" s="5">
        <f t="shared" si="0"/>
        <v>3.6447597700825533E-3</v>
      </c>
      <c r="D53" s="11">
        <f t="shared" si="4"/>
        <v>3.2148666018575453E-2</v>
      </c>
      <c r="E53" s="11" cm="1">
        <f t="array" ref="E53">IF(ROW()-1&lt;2, 0, INDEX($H:$H, ROW()-1))</f>
        <v>3.2067260656233318E-2</v>
      </c>
      <c r="F53" s="11" cm="1">
        <f t="array" ref="F53">IF(ROW()-2&lt;2, 0, INDEX($H:$H, ROW()-2))</f>
        <v>-3.8467772223776987E-3</v>
      </c>
      <c r="G53" s="2" cm="1">
        <f t="array" ref="G53">IF($B53="","",
 $L$2
 + $L$3 * IF(ROW()-1&gt;=2, INDEX($B:$B, ROW()-1), 0)
 + $L$4 * IF(ROW()-1&gt;=2, INDEX($H:$H, ROW()-1), 0)
 + $L$5 * IF(ROW()-2&gt;=2, INDEX($H:$H, ROW()-2), 0)
)</f>
        <v>2.9663520992750806E-3</v>
      </c>
      <c r="H53" s="2">
        <f t="shared" si="1"/>
        <v>3.6447597700825533E-3</v>
      </c>
      <c r="I53" s="2">
        <f t="shared" si="2"/>
        <v>1.3284273781612227E-5</v>
      </c>
    </row>
    <row r="54" spans="1:9" x14ac:dyDescent="0.3">
      <c r="A54">
        <f t="shared" si="3"/>
        <v>53</v>
      </c>
      <c r="B54" s="1">
        <v>8.0712568883377286E-3</v>
      </c>
      <c r="C54" s="5">
        <f t="shared" si="0"/>
        <v>1.0418286816784134E-2</v>
      </c>
      <c r="D54" s="11">
        <f t="shared" si="4"/>
        <v>6.6111118693576339E-3</v>
      </c>
      <c r="E54" s="11" cm="1">
        <f t="array" ref="E54">IF(ROW()-1&lt;2, 0, INDEX($H:$H, ROW()-1))</f>
        <v>3.6447597700825533E-3</v>
      </c>
      <c r="F54" s="11" cm="1">
        <f t="array" ref="F54">IF(ROW()-2&lt;2, 0, INDEX($H:$H, ROW()-2))</f>
        <v>3.2067260656233318E-2</v>
      </c>
      <c r="G54" s="2" cm="1">
        <f t="array" ref="G54">IF($B54="","",
 $L$2
 + $L$3 * IF(ROW()-1&gt;=2, INDEX($B:$B, ROW()-1), 0)
 + $L$4 * IF(ROW()-1&gt;=2, INDEX($H:$H, ROW()-1), 0)
 + $L$5 * IF(ROW()-2&gt;=2, INDEX($H:$H, ROW()-2), 0)
)</f>
        <v>-2.3470299284464049E-3</v>
      </c>
      <c r="H54" s="2">
        <f t="shared" si="1"/>
        <v>1.0418286816784134E-2</v>
      </c>
      <c r="I54" s="2">
        <f t="shared" si="2"/>
        <v>1.0854070019677808E-4</v>
      </c>
    </row>
    <row r="55" spans="1:9" x14ac:dyDescent="0.3">
      <c r="A55">
        <f t="shared" si="3"/>
        <v>54</v>
      </c>
      <c r="B55" s="1">
        <v>-3.1914397643425995E-3</v>
      </c>
      <c r="C55" s="5">
        <f t="shared" si="0"/>
        <v>-4.7619738434209972E-3</v>
      </c>
      <c r="D55" s="11">
        <f t="shared" si="4"/>
        <v>8.0712568883377286E-3</v>
      </c>
      <c r="E55" s="11" cm="1">
        <f t="array" ref="E55">IF(ROW()-1&lt;2, 0, INDEX($H:$H, ROW()-1))</f>
        <v>1.0418286816784134E-2</v>
      </c>
      <c r="F55" s="11" cm="1">
        <f t="array" ref="F55">IF(ROW()-2&lt;2, 0, INDEX($H:$H, ROW()-2))</f>
        <v>3.6447597700825533E-3</v>
      </c>
      <c r="G55" s="2" cm="1">
        <f t="array" ref="G55">IF($B55="","",
 $L$2
 + $L$3 * IF(ROW()-1&gt;=2, INDEX($B:$B, ROW()-1), 0)
 + $L$4 * IF(ROW()-1&gt;=2, INDEX($H:$H, ROW()-1), 0)
 + $L$5 * IF(ROW()-2&gt;=2, INDEX($H:$H, ROW()-2), 0)
)</f>
        <v>1.5705340790783972E-3</v>
      </c>
      <c r="H55" s="2">
        <f t="shared" si="1"/>
        <v>-4.7619738434209972E-3</v>
      </c>
      <c r="I55" s="2">
        <f t="shared" si="2"/>
        <v>2.2676394885425744E-5</v>
      </c>
    </row>
    <row r="56" spans="1:9" x14ac:dyDescent="0.3">
      <c r="A56">
        <f t="shared" si="3"/>
        <v>55</v>
      </c>
      <c r="B56" s="1">
        <v>1.6279246837467176E-2</v>
      </c>
      <c r="C56" s="5">
        <f t="shared" si="0"/>
        <v>1.7779232130761616E-2</v>
      </c>
      <c r="D56" s="11">
        <f t="shared" si="4"/>
        <v>-3.1914397643425995E-3</v>
      </c>
      <c r="E56" s="11" cm="1">
        <f t="array" ref="E56">IF(ROW()-1&lt;2, 0, INDEX($H:$H, ROW()-1))</f>
        <v>-4.7619738434209972E-3</v>
      </c>
      <c r="F56" s="11" cm="1">
        <f t="array" ref="F56">IF(ROW()-2&lt;2, 0, INDEX($H:$H, ROW()-2))</f>
        <v>1.0418286816784134E-2</v>
      </c>
      <c r="G56" s="2" cm="1">
        <f t="array" ref="G56">IF($B56="","",
 $L$2
 + $L$3 * IF(ROW()-1&gt;=2, INDEX($B:$B, ROW()-1), 0)
 + $L$4 * IF(ROW()-1&gt;=2, INDEX($H:$H, ROW()-1), 0)
 + $L$5 * IF(ROW()-2&gt;=2, INDEX($H:$H, ROW()-2), 0)
)</f>
        <v>-1.4999852932944396E-3</v>
      </c>
      <c r="H56" s="2">
        <f t="shared" si="1"/>
        <v>1.7779232130761616E-2</v>
      </c>
      <c r="I56" s="2">
        <f t="shared" si="2"/>
        <v>3.161010951595062E-4</v>
      </c>
    </row>
    <row r="57" spans="1:9" x14ac:dyDescent="0.3">
      <c r="A57">
        <f t="shared" si="3"/>
        <v>56</v>
      </c>
      <c r="B57" s="1">
        <v>-2.2509628702727061E-2</v>
      </c>
      <c r="C57" s="5">
        <f t="shared" si="0"/>
        <v>-2.4839784062075758E-2</v>
      </c>
      <c r="D57" s="11">
        <f t="shared" si="4"/>
        <v>1.6279246837467176E-2</v>
      </c>
      <c r="E57" s="11" cm="1">
        <f t="array" ref="E57">IF(ROW()-1&lt;2, 0, INDEX($H:$H, ROW()-1))</f>
        <v>1.7779232130761616E-2</v>
      </c>
      <c r="F57" s="11" cm="1">
        <f t="array" ref="F57">IF(ROW()-2&lt;2, 0, INDEX($H:$H, ROW()-2))</f>
        <v>-4.7619738434209972E-3</v>
      </c>
      <c r="G57" s="2" cm="1">
        <f t="array" ref="G57">IF($B57="","",
 $L$2
 + $L$3 * IF(ROW()-1&gt;=2, INDEX($B:$B, ROW()-1), 0)
 + $L$4 * IF(ROW()-1&gt;=2, INDEX($H:$H, ROW()-1), 0)
 + $L$5 * IF(ROW()-2&gt;=2, INDEX($H:$H, ROW()-2), 0)
)</f>
        <v>2.3301553593486966E-3</v>
      </c>
      <c r="H57" s="2">
        <f t="shared" si="1"/>
        <v>-2.4839784062075758E-2</v>
      </c>
      <c r="I57" s="2">
        <f t="shared" si="2"/>
        <v>6.1701487225055286E-4</v>
      </c>
    </row>
    <row r="58" spans="1:9" x14ac:dyDescent="0.3">
      <c r="A58">
        <f t="shared" si="3"/>
        <v>57</v>
      </c>
      <c r="B58" s="1">
        <v>-2.2785246029928135E-2</v>
      </c>
      <c r="C58" s="5">
        <f t="shared" si="0"/>
        <v>-1.8889881822696946E-2</v>
      </c>
      <c r="D58" s="11">
        <f t="shared" si="4"/>
        <v>-2.2509628702727061E-2</v>
      </c>
      <c r="E58" s="11" cm="1">
        <f t="array" ref="E58">IF(ROW()-1&lt;2, 0, INDEX($H:$H, ROW()-1))</f>
        <v>-2.4839784062075758E-2</v>
      </c>
      <c r="F58" s="11" cm="1">
        <f t="array" ref="F58">IF(ROW()-2&lt;2, 0, INDEX($H:$H, ROW()-2))</f>
        <v>1.7779232130761616E-2</v>
      </c>
      <c r="G58" s="2" cm="1">
        <f t="array" ref="G58">IF($B58="","",
 $L$2
 + $L$3 * IF(ROW()-1&gt;=2, INDEX($B:$B, ROW()-1), 0)
 + $L$4 * IF(ROW()-1&gt;=2, INDEX($H:$H, ROW()-1), 0)
 + $L$5 * IF(ROW()-2&gt;=2, INDEX($H:$H, ROW()-2), 0)
)</f>
        <v>-3.8953642072311894E-3</v>
      </c>
      <c r="H58" s="2">
        <f t="shared" si="1"/>
        <v>-1.8889881822696946E-2</v>
      </c>
      <c r="I58" s="2">
        <f t="shared" si="2"/>
        <v>3.5682763527545647E-4</v>
      </c>
    </row>
    <row r="59" spans="1:9" x14ac:dyDescent="0.3">
      <c r="A59">
        <f t="shared" si="3"/>
        <v>58</v>
      </c>
      <c r="B59" s="1">
        <v>4.016894734355258E-3</v>
      </c>
      <c r="C59" s="5">
        <f t="shared" si="0"/>
        <v>3.0304396803916703E-3</v>
      </c>
      <c r="D59" s="11">
        <f t="shared" si="4"/>
        <v>-2.2785246029928135E-2</v>
      </c>
      <c r="E59" s="11" cm="1">
        <f t="array" ref="E59">IF(ROW()-1&lt;2, 0, INDEX($H:$H, ROW()-1))</f>
        <v>-1.8889881822696946E-2</v>
      </c>
      <c r="F59" s="11" cm="1">
        <f t="array" ref="F59">IF(ROW()-2&lt;2, 0, INDEX($H:$H, ROW()-2))</f>
        <v>-2.4839784062075758E-2</v>
      </c>
      <c r="G59" s="2" cm="1">
        <f t="array" ref="G59">IF($B59="","",
 $L$2
 + $L$3 * IF(ROW()-1&gt;=2, INDEX($B:$B, ROW()-1), 0)
 + $L$4 * IF(ROW()-1&gt;=2, INDEX($H:$H, ROW()-1), 0)
 + $L$5 * IF(ROW()-2&gt;=2, INDEX($H:$H, ROW()-2), 0)
)</f>
        <v>9.8645505396358795E-4</v>
      </c>
      <c r="H59" s="2">
        <f t="shared" si="1"/>
        <v>3.0304396803916703E-3</v>
      </c>
      <c r="I59" s="2">
        <f t="shared" si="2"/>
        <v>9.1835646564923686E-6</v>
      </c>
    </row>
    <row r="60" spans="1:9" x14ac:dyDescent="0.3">
      <c r="A60">
        <f t="shared" si="3"/>
        <v>59</v>
      </c>
      <c r="B60" s="1">
        <v>-8.8478376790346205E-4</v>
      </c>
      <c r="C60" s="5">
        <f t="shared" si="0"/>
        <v>-1.7394470465897358E-3</v>
      </c>
      <c r="D60" s="11">
        <f t="shared" si="4"/>
        <v>4.016894734355258E-3</v>
      </c>
      <c r="E60" s="11" cm="1">
        <f t="array" ref="E60">IF(ROW()-1&lt;2, 0, INDEX($H:$H, ROW()-1))</f>
        <v>3.0304396803916703E-3</v>
      </c>
      <c r="F60" s="11" cm="1">
        <f t="array" ref="F60">IF(ROW()-2&lt;2, 0, INDEX($H:$H, ROW()-2))</f>
        <v>-1.8889881822696946E-2</v>
      </c>
      <c r="G60" s="2" cm="1">
        <f t="array" ref="G60">IF($B60="","",
 $L$2
 + $L$3 * IF(ROW()-1&gt;=2, INDEX($B:$B, ROW()-1), 0)
 + $L$4 * IF(ROW()-1&gt;=2, INDEX($H:$H, ROW()-1), 0)
 + $L$5 * IF(ROW()-2&gt;=2, INDEX($H:$H, ROW()-2), 0)
)</f>
        <v>8.5466327868627379E-4</v>
      </c>
      <c r="H60" s="2">
        <f t="shared" si="1"/>
        <v>-1.7394470465897358E-3</v>
      </c>
      <c r="I60" s="2">
        <f t="shared" si="2"/>
        <v>3.0256760278897548E-6</v>
      </c>
    </row>
    <row r="61" spans="1:9" x14ac:dyDescent="0.3">
      <c r="A61">
        <f t="shared" si="3"/>
        <v>60</v>
      </c>
      <c r="B61" s="1">
        <v>3.5143598814075375E-2</v>
      </c>
      <c r="C61" s="5">
        <f t="shared" si="0"/>
        <v>3.5753571147306783E-2</v>
      </c>
      <c r="D61" s="11">
        <f t="shared" si="4"/>
        <v>-8.8478376790346205E-4</v>
      </c>
      <c r="E61" s="11" cm="1">
        <f t="array" ref="E61">IF(ROW()-1&lt;2, 0, INDEX($H:$H, ROW()-1))</f>
        <v>-1.7394470465897358E-3</v>
      </c>
      <c r="F61" s="11" cm="1">
        <f t="array" ref="F61">IF(ROW()-2&lt;2, 0, INDEX($H:$H, ROW()-2))</f>
        <v>3.0304396803916703E-3</v>
      </c>
      <c r="G61" s="2" cm="1">
        <f t="array" ref="G61">IF($B61="","",
 $L$2
 + $L$3 * IF(ROW()-1&gt;=2, INDEX($B:$B, ROW()-1), 0)
 + $L$4 * IF(ROW()-1&gt;=2, INDEX($H:$H, ROW()-1), 0)
 + $L$5 * IF(ROW()-2&gt;=2, INDEX($H:$H, ROW()-2), 0)
)</f>
        <v>-6.0997233323141064E-4</v>
      </c>
      <c r="H61" s="2">
        <f t="shared" si="1"/>
        <v>3.5753571147306783E-2</v>
      </c>
      <c r="I61" s="2">
        <f t="shared" si="2"/>
        <v>1.2783178497855281E-3</v>
      </c>
    </row>
    <row r="62" spans="1:9" x14ac:dyDescent="0.3">
      <c r="A62">
        <f t="shared" si="3"/>
        <v>61</v>
      </c>
      <c r="B62" s="1">
        <v>-8.4933262235316141E-3</v>
      </c>
      <c r="C62" s="5">
        <f t="shared" si="0"/>
        <v>-1.1924657181051778E-2</v>
      </c>
      <c r="D62" s="11">
        <f t="shared" si="4"/>
        <v>3.5143598814075375E-2</v>
      </c>
      <c r="E62" s="11" cm="1">
        <f t="array" ref="E62">IF(ROW()-1&lt;2, 0, INDEX($H:$H, ROW()-1))</f>
        <v>3.5753571147306783E-2</v>
      </c>
      <c r="F62" s="11" cm="1">
        <f t="array" ref="F62">IF(ROW()-2&lt;2, 0, INDEX($H:$H, ROW()-2))</f>
        <v>-1.7394470465897358E-3</v>
      </c>
      <c r="G62" s="2" cm="1">
        <f t="array" ref="G62">IF($B62="","",
 $L$2
 + $L$3 * IF(ROW()-1&gt;=2, INDEX($B:$B, ROW()-1), 0)
 + $L$4 * IF(ROW()-1&gt;=2, INDEX($H:$H, ROW()-1), 0)
 + $L$5 * IF(ROW()-2&gt;=2, INDEX($H:$H, ROW()-2), 0)
)</f>
        <v>3.4313309575201641E-3</v>
      </c>
      <c r="H62" s="2">
        <f t="shared" si="1"/>
        <v>-1.1924657181051778E-2</v>
      </c>
      <c r="I62" s="2">
        <f t="shared" si="2"/>
        <v>1.4219744888560972E-4</v>
      </c>
    </row>
    <row r="63" spans="1:9" x14ac:dyDescent="0.3">
      <c r="A63">
        <f t="shared" si="3"/>
        <v>62</v>
      </c>
      <c r="B63" s="1">
        <v>-1.2610984463916461E-2</v>
      </c>
      <c r="C63" s="5">
        <f t="shared" si="0"/>
        <v>-8.5519347862739563E-3</v>
      </c>
      <c r="D63" s="11">
        <f t="shared" si="4"/>
        <v>-8.4933262235316141E-3</v>
      </c>
      <c r="E63" s="11" cm="1">
        <f t="array" ref="E63">IF(ROW()-1&lt;2, 0, INDEX($H:$H, ROW()-1))</f>
        <v>-1.1924657181051778E-2</v>
      </c>
      <c r="F63" s="11" cm="1">
        <f t="array" ref="F63">IF(ROW()-2&lt;2, 0, INDEX($H:$H, ROW()-2))</f>
        <v>3.5753571147306783E-2</v>
      </c>
      <c r="G63" s="2" cm="1">
        <f t="array" ref="G63">IF($B63="","",
 $L$2
 + $L$3 * IF(ROW()-1&gt;=2, INDEX($B:$B, ROW()-1), 0)
 + $L$4 * IF(ROW()-1&gt;=2, INDEX($H:$H, ROW()-1), 0)
 + $L$5 * IF(ROW()-2&gt;=2, INDEX($H:$H, ROW()-2), 0)
)</f>
        <v>-4.0590496776425049E-3</v>
      </c>
      <c r="H63" s="2">
        <f t="shared" si="1"/>
        <v>-8.5519347862739563E-3</v>
      </c>
      <c r="I63" s="2">
        <f t="shared" si="2"/>
        <v>7.3135588588682578E-5</v>
      </c>
    </row>
    <row r="64" spans="1:9" x14ac:dyDescent="0.3">
      <c r="A64">
        <f t="shared" si="3"/>
        <v>63</v>
      </c>
      <c r="B64" s="1">
        <v>2.8078511558450757E-3</v>
      </c>
      <c r="C64" s="5">
        <f t="shared" si="0"/>
        <v>1.5040211492168224E-3</v>
      </c>
      <c r="D64" s="11">
        <f t="shared" si="4"/>
        <v>-1.2610984463916461E-2</v>
      </c>
      <c r="E64" s="11" cm="1">
        <f t="array" ref="E64">IF(ROW()-1&lt;2, 0, INDEX($H:$H, ROW()-1))</f>
        <v>-8.5519347862739563E-3</v>
      </c>
      <c r="F64" s="11" cm="1">
        <f t="array" ref="F64">IF(ROW()-2&lt;2, 0, INDEX($H:$H, ROW()-2))</f>
        <v>-1.1924657181051778E-2</v>
      </c>
      <c r="G64" s="2" cm="1">
        <f t="array" ref="G64">IF($B64="","",
 $L$2
 + $L$3 * IF(ROW()-1&gt;=2, INDEX($B:$B, ROW()-1), 0)
 + $L$4 * IF(ROW()-1&gt;=2, INDEX($H:$H, ROW()-1), 0)
 + $L$5 * IF(ROW()-2&gt;=2, INDEX($H:$H, ROW()-2), 0)
)</f>
        <v>1.3038300066282532E-3</v>
      </c>
      <c r="H64" s="2">
        <f t="shared" si="1"/>
        <v>1.5040211492168224E-3</v>
      </c>
      <c r="I64" s="2">
        <f t="shared" si="2"/>
        <v>2.2620796172914911E-6</v>
      </c>
    </row>
    <row r="65" spans="1:9" x14ac:dyDescent="0.3">
      <c r="A65">
        <f t="shared" si="3"/>
        <v>64</v>
      </c>
      <c r="B65" s="1">
        <v>-3.7082730250175039E-3</v>
      </c>
      <c r="C65" s="5">
        <f t="shared" si="0"/>
        <v>-3.7992870365257713E-3</v>
      </c>
      <c r="D65" s="11">
        <f t="shared" si="4"/>
        <v>2.8078511558450757E-3</v>
      </c>
      <c r="E65" s="11" cm="1">
        <f t="array" ref="E65">IF(ROW()-1&lt;2, 0, INDEX($H:$H, ROW()-1))</f>
        <v>1.5040211492168224E-3</v>
      </c>
      <c r="F65" s="11" cm="1">
        <f t="array" ref="F65">IF(ROW()-2&lt;2, 0, INDEX($H:$H, ROW()-2))</f>
        <v>-8.5519347862739563E-3</v>
      </c>
      <c r="G65" s="2" cm="1">
        <f t="array" ref="G65">IF($B65="","",
 $L$2
 + $L$3 * IF(ROW()-1&gt;=2, INDEX($B:$B, ROW()-1), 0)
 + $L$4 * IF(ROW()-1&gt;=2, INDEX($H:$H, ROW()-1), 0)
 + $L$5 * IF(ROW()-2&gt;=2, INDEX($H:$H, ROW()-2), 0)
)</f>
        <v>9.1014011508267476E-5</v>
      </c>
      <c r="H65" s="2">
        <f t="shared" si="1"/>
        <v>-3.7992870365257713E-3</v>
      </c>
      <c r="I65" s="2">
        <f t="shared" si="2"/>
        <v>1.4434581985912778E-5</v>
      </c>
    </row>
    <row r="66" spans="1:9" x14ac:dyDescent="0.3">
      <c r="A66">
        <f t="shared" si="3"/>
        <v>65</v>
      </c>
      <c r="B66" s="1">
        <v>-1.6901037899613405E-2</v>
      </c>
      <c r="C66" s="5">
        <f t="shared" si="0"/>
        <v>-1.6461125728705416E-2</v>
      </c>
      <c r="D66" s="11">
        <f t="shared" si="4"/>
        <v>-3.7082730250175039E-3</v>
      </c>
      <c r="E66" s="11" cm="1">
        <f t="array" ref="E66">IF(ROW()-1&lt;2, 0, INDEX($H:$H, ROW()-1))</f>
        <v>-3.7992870365257713E-3</v>
      </c>
      <c r="F66" s="11" cm="1">
        <f t="array" ref="F66">IF(ROW()-2&lt;2, 0, INDEX($H:$H, ROW()-2))</f>
        <v>1.5040211492168224E-3</v>
      </c>
      <c r="G66" s="2" cm="1">
        <f t="array" ref="G66">IF($B66="","",
 $L$2
 + $L$3 * IF(ROW()-1&gt;=2, INDEX($B:$B, ROW()-1), 0)
 + $L$4 * IF(ROW()-1&gt;=2, INDEX($H:$H, ROW()-1), 0)
 + $L$5 * IF(ROW()-2&gt;=2, INDEX($H:$H, ROW()-2), 0)
)</f>
        <v>-4.3991217090799082E-4</v>
      </c>
      <c r="H66" s="2">
        <f t="shared" si="1"/>
        <v>-1.6461125728705416E-2</v>
      </c>
      <c r="I66" s="2">
        <f t="shared" si="2"/>
        <v>2.7096866025624742E-4</v>
      </c>
    </row>
    <row r="67" spans="1:9" x14ac:dyDescent="0.3">
      <c r="A67">
        <f t="shared" si="3"/>
        <v>66</v>
      </c>
      <c r="B67" s="1">
        <v>-2.6177205874303614E-2</v>
      </c>
      <c r="C67" s="5">
        <f t="shared" ref="C67:C110" si="5">H67</f>
        <v>-2.508568347240115E-2</v>
      </c>
      <c r="D67" s="11">
        <f t="shared" si="4"/>
        <v>-1.6901037899613405E-2</v>
      </c>
      <c r="E67" s="11" cm="1">
        <f t="array" ref="E67">IF(ROW()-1&lt;2, 0, INDEX($H:$H, ROW()-1))</f>
        <v>-1.6461125728705416E-2</v>
      </c>
      <c r="F67" s="11" cm="1">
        <f t="array" ref="F67">IF(ROW()-2&lt;2, 0, INDEX($H:$H, ROW()-2))</f>
        <v>-3.7992870365257713E-3</v>
      </c>
      <c r="G67" s="2" cm="1">
        <f t="array" ref="G67">IF($B67="","",
 $L$2
 + $L$3 * IF(ROW()-1&gt;=2, INDEX($B:$B, ROW()-1), 0)
 + $L$4 * IF(ROW()-1&gt;=2, INDEX($H:$H, ROW()-1), 0)
 + $L$5 * IF(ROW()-2&gt;=2, INDEX($H:$H, ROW()-2), 0)
)</f>
        <v>-1.0915224019024624E-3</v>
      </c>
      <c r="H67" s="2">
        <f t="shared" ref="H67:H110" si="6">IF($B67="","", $B67 - G67)</f>
        <v>-2.508568347240115E-2</v>
      </c>
      <c r="I67" s="2">
        <f t="shared" ref="I67:I110" si="7">IF(H67="","", H67^2)</f>
        <v>6.2929151527750028E-4</v>
      </c>
    </row>
    <row r="68" spans="1:9" x14ac:dyDescent="0.3">
      <c r="A68">
        <f t="shared" ref="A68:A110" si="8">A67+1</f>
        <v>67</v>
      </c>
      <c r="B68" s="1">
        <v>-4.6183760271147423E-3</v>
      </c>
      <c r="C68" s="5">
        <f t="shared" si="5"/>
        <v>-3.639032801816682E-3</v>
      </c>
      <c r="D68" s="11">
        <f t="shared" ref="D68:D110" si="9">B67</f>
        <v>-2.6177205874303614E-2</v>
      </c>
      <c r="E68" s="11" cm="1">
        <f t="array" ref="E68">IF(ROW()-1&lt;2, 0, INDEX($H:$H, ROW()-1))</f>
        <v>-2.508568347240115E-2</v>
      </c>
      <c r="F68" s="11" cm="1">
        <f t="array" ref="F68">IF(ROW()-2&lt;2, 0, INDEX($H:$H, ROW()-2))</f>
        <v>-1.6461125728705416E-2</v>
      </c>
      <c r="G68" s="2" cm="1">
        <f t="array" ref="G68">IF($B68="","",
 $L$2
 + $L$3 * IF(ROW()-1&gt;=2, INDEX($B:$B, ROW()-1), 0)
 + $L$4 * IF(ROW()-1&gt;=2, INDEX($H:$H, ROW()-1), 0)
 + $L$5 * IF(ROW()-2&gt;=2, INDEX($H:$H, ROW()-2), 0)
)</f>
        <v>-9.793432252980603E-4</v>
      </c>
      <c r="H68" s="2">
        <f t="shared" si="6"/>
        <v>-3.639032801816682E-3</v>
      </c>
      <c r="I68" s="2">
        <f t="shared" si="7"/>
        <v>1.3242559732697771E-5</v>
      </c>
    </row>
    <row r="69" spans="1:9" x14ac:dyDescent="0.3">
      <c r="A69">
        <f t="shared" si="8"/>
        <v>68</v>
      </c>
      <c r="B69" s="1">
        <v>2.4179077638231017E-2</v>
      </c>
      <c r="C69" s="5">
        <f t="shared" si="5"/>
        <v>2.2892940430858207E-2</v>
      </c>
      <c r="D69" s="11">
        <f t="shared" si="9"/>
        <v>-4.6183760271147423E-3</v>
      </c>
      <c r="E69" s="11" cm="1">
        <f t="array" ref="E69">IF(ROW()-1&lt;2, 0, INDEX($H:$H, ROW()-1))</f>
        <v>-3.639032801816682E-3</v>
      </c>
      <c r="F69" s="11" cm="1">
        <f t="array" ref="F69">IF(ROW()-2&lt;2, 0, INDEX($H:$H, ROW()-2))</f>
        <v>-2.508568347240115E-2</v>
      </c>
      <c r="G69" s="2" cm="1">
        <f t="array" ref="G69">IF($B69="","",
 $L$2
 + $L$3 * IF(ROW()-1&gt;=2, INDEX($B:$B, ROW()-1), 0)
 + $L$4 * IF(ROW()-1&gt;=2, INDEX($H:$H, ROW()-1), 0)
 + $L$5 * IF(ROW()-2&gt;=2, INDEX($H:$H, ROW()-2), 0)
)</f>
        <v>1.2861372073728092E-3</v>
      </c>
      <c r="H69" s="2">
        <f t="shared" si="6"/>
        <v>2.2892940430858207E-2</v>
      </c>
      <c r="I69" s="2">
        <f t="shared" si="7"/>
        <v>5.240867215708224E-4</v>
      </c>
    </row>
    <row r="70" spans="1:9" x14ac:dyDescent="0.3">
      <c r="A70">
        <f t="shared" si="8"/>
        <v>69</v>
      </c>
      <c r="B70" s="1">
        <v>-9.8653500312086868E-3</v>
      </c>
      <c r="C70" s="5">
        <f t="shared" si="5"/>
        <v>-1.158718886549108E-2</v>
      </c>
      <c r="D70" s="11">
        <f t="shared" si="9"/>
        <v>2.4179077638231017E-2</v>
      </c>
      <c r="E70" s="11" cm="1">
        <f t="array" ref="E70">IF(ROW()-1&lt;2, 0, INDEX($H:$H, ROW()-1))</f>
        <v>2.2892940430858207E-2</v>
      </c>
      <c r="F70" s="11" cm="1">
        <f t="array" ref="F70">IF(ROW()-2&lt;2, 0, INDEX($H:$H, ROW()-2))</f>
        <v>-3.639032801816682E-3</v>
      </c>
      <c r="G70" s="2" cm="1">
        <f t="array" ref="G70">IF($B70="","",
 $L$2
 + $L$3 * IF(ROW()-1&gt;=2, INDEX($B:$B, ROW()-1), 0)
 + $L$4 * IF(ROW()-1&gt;=2, INDEX($H:$H, ROW()-1), 0)
 + $L$5 * IF(ROW()-2&gt;=2, INDEX($H:$H, ROW()-2), 0)
)</f>
        <v>1.7218388342823932E-3</v>
      </c>
      <c r="H70" s="2">
        <f t="shared" si="6"/>
        <v>-1.158718886549108E-2</v>
      </c>
      <c r="I70" s="2">
        <f t="shared" si="7"/>
        <v>1.3426294580456047E-4</v>
      </c>
    </row>
    <row r="71" spans="1:9" x14ac:dyDescent="0.3">
      <c r="A71">
        <f t="shared" si="8"/>
        <v>70</v>
      </c>
      <c r="B71" s="1">
        <v>2.4068827830097512E-3</v>
      </c>
      <c r="C71" s="5">
        <f t="shared" si="5"/>
        <v>5.1809162050397723E-3</v>
      </c>
      <c r="D71" s="11">
        <f t="shared" si="9"/>
        <v>-9.8653500312086868E-3</v>
      </c>
      <c r="E71" s="11" cm="1">
        <f t="array" ref="E71">IF(ROW()-1&lt;2, 0, INDEX($H:$H, ROW()-1))</f>
        <v>-1.158718886549108E-2</v>
      </c>
      <c r="F71" s="11" cm="1">
        <f t="array" ref="F71">IF(ROW()-2&lt;2, 0, INDEX($H:$H, ROW()-2))</f>
        <v>2.2892940430858207E-2</v>
      </c>
      <c r="G71" s="2" cm="1">
        <f t="array" ref="G71">IF($B71="","",
 $L$2
 + $L$3 * IF(ROW()-1&gt;=2, INDEX($B:$B, ROW()-1), 0)
 + $L$4 * IF(ROW()-1&gt;=2, INDEX($H:$H, ROW()-1), 0)
 + $L$5 * IF(ROW()-2&gt;=2, INDEX($H:$H, ROW()-2), 0)
)</f>
        <v>-2.7740334220300216E-3</v>
      </c>
      <c r="H71" s="2">
        <f t="shared" si="6"/>
        <v>5.1809162050397723E-3</v>
      </c>
      <c r="I71" s="2">
        <f t="shared" si="7"/>
        <v>2.6841892723643716E-5</v>
      </c>
    </row>
    <row r="72" spans="1:9" x14ac:dyDescent="0.3">
      <c r="A72">
        <f t="shared" si="8"/>
        <v>71</v>
      </c>
      <c r="B72" s="1">
        <v>6.9569766963577797E-3</v>
      </c>
      <c r="C72" s="5">
        <f t="shared" si="5"/>
        <v>4.9303291720350769E-3</v>
      </c>
      <c r="D72" s="11">
        <f t="shared" si="9"/>
        <v>2.4068827830097512E-3</v>
      </c>
      <c r="E72" s="11" cm="1">
        <f t="array" ref="E72">IF(ROW()-1&lt;2, 0, INDEX($H:$H, ROW()-1))</f>
        <v>5.1809162050397723E-3</v>
      </c>
      <c r="F72" s="11" cm="1">
        <f t="array" ref="F72">IF(ROW()-2&lt;2, 0, INDEX($H:$H, ROW()-2))</f>
        <v>-1.158718886549108E-2</v>
      </c>
      <c r="G72" s="2" cm="1">
        <f t="array" ref="G72">IF($B72="","",
 $L$2
 + $L$3 * IF(ROW()-1&gt;=2, INDEX($B:$B, ROW()-1), 0)
 + $L$4 * IF(ROW()-1&gt;=2, INDEX($H:$H, ROW()-1), 0)
 + $L$5 * IF(ROW()-2&gt;=2, INDEX($H:$H, ROW()-2), 0)
)</f>
        <v>2.0266475243227028E-3</v>
      </c>
      <c r="H72" s="2">
        <f t="shared" si="6"/>
        <v>4.9303291720350769E-3</v>
      </c>
      <c r="I72" s="2">
        <f t="shared" si="7"/>
        <v>2.4308145744620086E-5</v>
      </c>
    </row>
    <row r="73" spans="1:9" x14ac:dyDescent="0.3">
      <c r="A73">
        <f t="shared" si="8"/>
        <v>72</v>
      </c>
      <c r="B73" s="1">
        <v>9.3046002762794781E-3</v>
      </c>
      <c r="C73" s="5">
        <f t="shared" si="5"/>
        <v>9.8592461222788107E-3</v>
      </c>
      <c r="D73" s="11">
        <f t="shared" si="9"/>
        <v>6.9569766963577797E-3</v>
      </c>
      <c r="E73" s="11" cm="1">
        <f t="array" ref="E73">IF(ROW()-1&lt;2, 0, INDEX($H:$H, ROW()-1))</f>
        <v>4.9303291720350769E-3</v>
      </c>
      <c r="F73" s="11" cm="1">
        <f t="array" ref="F73">IF(ROW()-2&lt;2, 0, INDEX($H:$H, ROW()-2))</f>
        <v>5.1809162050397723E-3</v>
      </c>
      <c r="G73" s="2" cm="1">
        <f t="array" ref="G73">IF($B73="","",
 $L$2
 + $L$3 * IF(ROW()-1&gt;=2, INDEX($B:$B, ROW()-1), 0)
 + $L$4 * IF(ROW()-1&gt;=2, INDEX($H:$H, ROW()-1), 0)
 + $L$5 * IF(ROW()-2&gt;=2, INDEX($H:$H, ROW()-2), 0)
)</f>
        <v>-5.546458459993321E-4</v>
      </c>
      <c r="H73" s="2">
        <f t="shared" si="6"/>
        <v>9.8592461222788107E-3</v>
      </c>
      <c r="I73" s="2">
        <f t="shared" si="7"/>
        <v>9.7204734099669765E-5</v>
      </c>
    </row>
    <row r="74" spans="1:9" x14ac:dyDescent="0.3">
      <c r="A74">
        <f t="shared" si="8"/>
        <v>73</v>
      </c>
      <c r="B74" s="1">
        <v>-8.8967835118414177E-5</v>
      </c>
      <c r="C74" s="5">
        <f t="shared" si="5"/>
        <v>-9.0355305072634053E-4</v>
      </c>
      <c r="D74" s="11">
        <f t="shared" si="9"/>
        <v>9.3046002762794781E-3</v>
      </c>
      <c r="E74" s="11" cm="1">
        <f t="array" ref="E74">IF(ROW()-1&lt;2, 0, INDEX($H:$H, ROW()-1))</f>
        <v>9.8592461222788107E-3</v>
      </c>
      <c r="F74" s="11" cm="1">
        <f t="array" ref="F74">IF(ROW()-2&lt;2, 0, INDEX($H:$H, ROW()-2))</f>
        <v>4.9303291720350769E-3</v>
      </c>
      <c r="G74" s="2" cm="1">
        <f t="array" ref="G74">IF($B74="","",
 $L$2
 + $L$3 * IF(ROW()-1&gt;=2, INDEX($B:$B, ROW()-1), 0)
 + $L$4 * IF(ROW()-1&gt;=2, INDEX($H:$H, ROW()-1), 0)
 + $L$5 * IF(ROW()-2&gt;=2, INDEX($H:$H, ROW()-2), 0)
)</f>
        <v>8.1458521560792631E-4</v>
      </c>
      <c r="H74" s="2">
        <f t="shared" si="6"/>
        <v>-9.0355305072634053E-4</v>
      </c>
      <c r="I74" s="2">
        <f t="shared" si="7"/>
        <v>8.1640811547687694E-7</v>
      </c>
    </row>
    <row r="75" spans="1:9" x14ac:dyDescent="0.3">
      <c r="A75">
        <f t="shared" si="8"/>
        <v>74</v>
      </c>
      <c r="B75" s="1">
        <v>1.2133632428475732E-2</v>
      </c>
      <c r="C75" s="5">
        <f t="shared" si="5"/>
        <v>1.2997249407616401E-2</v>
      </c>
      <c r="D75" s="11">
        <f t="shared" si="9"/>
        <v>-8.8967835118414177E-5</v>
      </c>
      <c r="E75" s="11" cm="1">
        <f t="array" ref="E75">IF(ROW()-1&lt;2, 0, INDEX($H:$H, ROW()-1))</f>
        <v>-9.0355305072634053E-4</v>
      </c>
      <c r="F75" s="11" cm="1">
        <f t="array" ref="F75">IF(ROW()-2&lt;2, 0, INDEX($H:$H, ROW()-2))</f>
        <v>9.8592461222788107E-3</v>
      </c>
      <c r="G75" s="2" cm="1">
        <f t="array" ref="G75">IF($B75="","",
 $L$2
 + $L$3 * IF(ROW()-1&gt;=2, INDEX($B:$B, ROW()-1), 0)
 + $L$4 * IF(ROW()-1&gt;=2, INDEX($H:$H, ROW()-1), 0)
 + $L$5 * IF(ROW()-2&gt;=2, INDEX($H:$H, ROW()-2), 0)
)</f>
        <v>-8.6361697914066925E-4</v>
      </c>
      <c r="H75" s="2">
        <f t="shared" si="6"/>
        <v>1.2997249407616401E-2</v>
      </c>
      <c r="I75" s="2">
        <f t="shared" si="7"/>
        <v>1.689284921637849E-4</v>
      </c>
    </row>
    <row r="76" spans="1:9" x14ac:dyDescent="0.3">
      <c r="A76">
        <f t="shared" si="8"/>
        <v>75</v>
      </c>
      <c r="B76" s="1">
        <v>1.1595765294793349E-2</v>
      </c>
      <c r="C76" s="5">
        <f t="shared" si="5"/>
        <v>1.010463159023562E-2</v>
      </c>
      <c r="D76" s="11">
        <f t="shared" si="9"/>
        <v>1.2133632428475732E-2</v>
      </c>
      <c r="E76" s="11" cm="1">
        <f t="array" ref="E76">IF(ROW()-1&lt;2, 0, INDEX($H:$H, ROW()-1))</f>
        <v>1.2997249407616401E-2</v>
      </c>
      <c r="F76" s="11" cm="1">
        <f t="array" ref="F76">IF(ROW()-2&lt;2, 0, INDEX($H:$H, ROW()-2))</f>
        <v>-9.0355305072634053E-4</v>
      </c>
      <c r="G76" s="2" cm="1">
        <f t="array" ref="G76">IF($B76="","",
 $L$2
 + $L$3 * IF(ROW()-1&gt;=2, INDEX($B:$B, ROW()-1), 0)
 + $L$4 * IF(ROW()-1&gt;=2, INDEX($H:$H, ROW()-1), 0)
 + $L$5 * IF(ROW()-2&gt;=2, INDEX($H:$H, ROW()-2), 0)
)</f>
        <v>1.4911337045577285E-3</v>
      </c>
      <c r="H76" s="2">
        <f t="shared" si="6"/>
        <v>1.010463159023562E-2</v>
      </c>
      <c r="I76" s="2">
        <f t="shared" si="7"/>
        <v>1.0210357957438764E-4</v>
      </c>
    </row>
    <row r="77" spans="1:9" x14ac:dyDescent="0.3">
      <c r="A77">
        <f t="shared" si="8"/>
        <v>76</v>
      </c>
      <c r="B77" s="1">
        <v>-1.2836210012195249E-2</v>
      </c>
      <c r="C77" s="5">
        <f t="shared" si="5"/>
        <v>-1.2535562889728265E-2</v>
      </c>
      <c r="D77" s="11">
        <f t="shared" si="9"/>
        <v>1.1595765294793349E-2</v>
      </c>
      <c r="E77" s="11" cm="1">
        <f t="array" ref="E77">IF(ROW()-1&lt;2, 0, INDEX($H:$H, ROW()-1))</f>
        <v>1.010463159023562E-2</v>
      </c>
      <c r="F77" s="11" cm="1">
        <f t="array" ref="F77">IF(ROW()-2&lt;2, 0, INDEX($H:$H, ROW()-2))</f>
        <v>1.2997249407616401E-2</v>
      </c>
      <c r="G77" s="2" cm="1">
        <f t="array" ref="G77">IF($B77="","",
 $L$2
 + $L$3 * IF(ROW()-1&gt;=2, INDEX($B:$B, ROW()-1), 0)
 + $L$4 * IF(ROW()-1&gt;=2, INDEX($H:$H, ROW()-1), 0)
 + $L$5 * IF(ROW()-2&gt;=2, INDEX($H:$H, ROW()-2), 0)
)</f>
        <v>-3.0064712246698308E-4</v>
      </c>
      <c r="H77" s="2">
        <f t="shared" si="6"/>
        <v>-1.2535562889728265E-2</v>
      </c>
      <c r="I77" s="2">
        <f t="shared" si="7"/>
        <v>1.5714033696233244E-4</v>
      </c>
    </row>
    <row r="78" spans="1:9" x14ac:dyDescent="0.3">
      <c r="A78">
        <f t="shared" si="8"/>
        <v>77</v>
      </c>
      <c r="B78" s="1">
        <v>-2.0895614439932226E-2</v>
      </c>
      <c r="C78" s="5">
        <f t="shared" si="5"/>
        <v>-1.9402832523264801E-2</v>
      </c>
      <c r="D78" s="11">
        <f t="shared" si="9"/>
        <v>-1.2836210012195249E-2</v>
      </c>
      <c r="E78" s="11" cm="1">
        <f t="array" ref="E78">IF(ROW()-1&lt;2, 0, INDEX($H:$H, ROW()-1))</f>
        <v>-1.2535562889728265E-2</v>
      </c>
      <c r="F78" s="11" cm="1">
        <f t="array" ref="F78">IF(ROW()-2&lt;2, 0, INDEX($H:$H, ROW()-2))</f>
        <v>1.010463159023562E-2</v>
      </c>
      <c r="G78" s="2" cm="1">
        <f t="array" ref="G78">IF($B78="","",
 $L$2
 + $L$3 * IF(ROW()-1&gt;=2, INDEX($B:$B, ROW()-1), 0)
 + $L$4 * IF(ROW()-1&gt;=2, INDEX($H:$H, ROW()-1), 0)
 + $L$5 * IF(ROW()-2&gt;=2, INDEX($H:$H, ROW()-2), 0)
)</f>
        <v>-1.4927819166674263E-3</v>
      </c>
      <c r="H78" s="2">
        <f t="shared" si="6"/>
        <v>-1.9402832523264801E-2</v>
      </c>
      <c r="I78" s="2">
        <f t="shared" si="7"/>
        <v>3.7646990992586235E-4</v>
      </c>
    </row>
    <row r="79" spans="1:9" x14ac:dyDescent="0.3">
      <c r="A79">
        <f t="shared" si="8"/>
        <v>78</v>
      </c>
      <c r="B79" s="1">
        <v>-1.0269406735265029E-2</v>
      </c>
      <c r="C79" s="5">
        <f t="shared" si="5"/>
        <v>-9.734710694813303E-3</v>
      </c>
      <c r="D79" s="11">
        <f t="shared" si="9"/>
        <v>-2.0895614439932226E-2</v>
      </c>
      <c r="E79" s="11" cm="1">
        <f t="array" ref="E79">IF(ROW()-1&lt;2, 0, INDEX($H:$H, ROW()-1))</f>
        <v>-1.9402832523264801E-2</v>
      </c>
      <c r="F79" s="11" cm="1">
        <f t="array" ref="F79">IF(ROW()-2&lt;2, 0, INDEX($H:$H, ROW()-2))</f>
        <v>-1.2535562889728265E-2</v>
      </c>
      <c r="G79" s="2" cm="1">
        <f t="array" ref="G79">IF($B79="","",
 $L$2
 + $L$3 * IF(ROW()-1&gt;=2, INDEX($B:$B, ROW()-1), 0)
 + $L$4 * IF(ROW()-1&gt;=2, INDEX($H:$H, ROW()-1), 0)
 + $L$5 * IF(ROW()-2&gt;=2, INDEX($H:$H, ROW()-2), 0)
)</f>
        <v>-5.3469604045172712E-4</v>
      </c>
      <c r="H79" s="2">
        <f t="shared" si="6"/>
        <v>-9.734710694813303E-3</v>
      </c>
      <c r="I79" s="2">
        <f t="shared" si="7"/>
        <v>9.4764592311712497E-5</v>
      </c>
    </row>
    <row r="80" spans="1:9" x14ac:dyDescent="0.3">
      <c r="A80">
        <f t="shared" si="8"/>
        <v>79</v>
      </c>
      <c r="B80" s="1">
        <v>1.1894972751368478E-2</v>
      </c>
      <c r="C80" s="5">
        <f t="shared" si="5"/>
        <v>1.1585069870796582E-2</v>
      </c>
      <c r="D80" s="11">
        <f t="shared" si="9"/>
        <v>-1.0269406735265029E-2</v>
      </c>
      <c r="E80" s="11" cm="1">
        <f t="array" ref="E80">IF(ROW()-1&lt;2, 0, INDEX($H:$H, ROW()-1))</f>
        <v>-9.734710694813303E-3</v>
      </c>
      <c r="F80" s="11" cm="1">
        <f t="array" ref="F80">IF(ROW()-2&lt;2, 0, INDEX($H:$H, ROW()-2))</f>
        <v>-1.9402832523264801E-2</v>
      </c>
      <c r="G80" s="2" cm="1">
        <f t="array" ref="G80">IF($B80="","",
 $L$2
 + $L$3 * IF(ROW()-1&gt;=2, INDEX($B:$B, ROW()-1), 0)
 + $L$4 * IF(ROW()-1&gt;=2, INDEX($H:$H, ROW()-1), 0)
 + $L$5 * IF(ROW()-2&gt;=2, INDEX($H:$H, ROW()-2), 0)
)</f>
        <v>3.099028805718957E-4</v>
      </c>
      <c r="H80" s="2">
        <f t="shared" si="6"/>
        <v>1.1585069870796582E-2</v>
      </c>
      <c r="I80" s="2">
        <f t="shared" si="7"/>
        <v>1.3421384391123874E-4</v>
      </c>
    </row>
    <row r="81" spans="1:9" x14ac:dyDescent="0.3">
      <c r="A81">
        <f t="shared" si="8"/>
        <v>80</v>
      </c>
      <c r="B81" s="1">
        <v>1.1268860105990996E-2</v>
      </c>
      <c r="C81" s="5">
        <f t="shared" si="5"/>
        <v>9.880969856408274E-3</v>
      </c>
      <c r="D81" s="11">
        <f t="shared" si="9"/>
        <v>1.1894972751368478E-2</v>
      </c>
      <c r="E81" s="11" cm="1">
        <f t="array" ref="E81">IF(ROW()-1&lt;2, 0, INDEX($H:$H, ROW()-1))</f>
        <v>1.1585069870796582E-2</v>
      </c>
      <c r="F81" s="11" cm="1">
        <f t="array" ref="F81">IF(ROW()-2&lt;2, 0, INDEX($H:$H, ROW()-2))</f>
        <v>-9.734710694813303E-3</v>
      </c>
      <c r="G81" s="2" cm="1">
        <f t="array" ref="G81">IF($B81="","",
 $L$2
 + $L$3 * IF(ROW()-1&gt;=2, INDEX($B:$B, ROW()-1), 0)
 + $L$4 * IF(ROW()-1&gt;=2, INDEX($H:$H, ROW()-1), 0)
 + $L$5 * IF(ROW()-2&gt;=2, INDEX($H:$H, ROW()-2), 0)
)</f>
        <v>1.3878902495827218E-3</v>
      </c>
      <c r="H81" s="2">
        <f t="shared" si="6"/>
        <v>9.880969856408274E-3</v>
      </c>
      <c r="I81" s="2">
        <f t="shared" si="7"/>
        <v>9.7633565303248946E-5</v>
      </c>
    </row>
    <row r="82" spans="1:9" x14ac:dyDescent="0.3">
      <c r="A82">
        <f t="shared" si="8"/>
        <v>81</v>
      </c>
      <c r="B82" s="1">
        <v>5.2326986879193552E-3</v>
      </c>
      <c r="C82" s="5">
        <f t="shared" si="5"/>
        <v>5.4453316482925718E-3</v>
      </c>
      <c r="D82" s="11">
        <f t="shared" si="9"/>
        <v>1.1268860105990996E-2</v>
      </c>
      <c r="E82" s="11" cm="1">
        <f t="array" ref="E82">IF(ROW()-1&lt;2, 0, INDEX($H:$H, ROW()-1))</f>
        <v>9.880969856408274E-3</v>
      </c>
      <c r="F82" s="11" cm="1">
        <f t="array" ref="F82">IF(ROW()-2&lt;2, 0, INDEX($H:$H, ROW()-2))</f>
        <v>1.1585069870796582E-2</v>
      </c>
      <c r="G82" s="2" cm="1">
        <f t="array" ref="G82">IF($B82="","",
 $L$2
 + $L$3 * IF(ROW()-1&gt;=2, INDEX($B:$B, ROW()-1), 0)
 + $L$4 * IF(ROW()-1&gt;=2, INDEX($H:$H, ROW()-1), 0)
 + $L$5 * IF(ROW()-2&gt;=2, INDEX($H:$H, ROW()-2), 0)
)</f>
        <v>-2.1263296037321697E-4</v>
      </c>
      <c r="H82" s="2">
        <f t="shared" si="6"/>
        <v>5.4453316482925718E-3</v>
      </c>
      <c r="I82" s="2">
        <f t="shared" si="7"/>
        <v>2.9651636759896697E-5</v>
      </c>
    </row>
    <row r="83" spans="1:9" x14ac:dyDescent="0.3">
      <c r="A83">
        <f t="shared" si="8"/>
        <v>82</v>
      </c>
      <c r="B83" s="1">
        <v>-1.5261713538424343E-2</v>
      </c>
      <c r="C83" s="5">
        <f t="shared" si="5"/>
        <v>-1.5320473311550065E-2</v>
      </c>
      <c r="D83" s="11">
        <f t="shared" si="9"/>
        <v>5.2326986879193552E-3</v>
      </c>
      <c r="E83" s="11" cm="1">
        <f t="array" ref="E83">IF(ROW()-1&lt;2, 0, INDEX($H:$H, ROW()-1))</f>
        <v>5.4453316482925718E-3</v>
      </c>
      <c r="F83" s="11" cm="1">
        <f t="array" ref="F83">IF(ROW()-2&lt;2, 0, INDEX($H:$H, ROW()-2))</f>
        <v>9.880969856408274E-3</v>
      </c>
      <c r="G83" s="2" cm="1">
        <f t="array" ref="G83">IF($B83="","",
 $L$2
 + $L$3 * IF(ROW()-1&gt;=2, INDEX($B:$B, ROW()-1), 0)
 + $L$4 * IF(ROW()-1&gt;=2, INDEX($H:$H, ROW()-1), 0)
 + $L$5 * IF(ROW()-2&gt;=2, INDEX($H:$H, ROW()-2), 0)
)</f>
        <v>5.8759773125722104E-5</v>
      </c>
      <c r="H83" s="2">
        <f t="shared" si="6"/>
        <v>-1.5320473311550065E-2</v>
      </c>
      <c r="I83" s="2">
        <f t="shared" si="7"/>
        <v>2.3471690248991781E-4</v>
      </c>
    </row>
    <row r="84" spans="1:9" x14ac:dyDescent="0.3">
      <c r="A84">
        <f t="shared" si="8"/>
        <v>83</v>
      </c>
      <c r="B84" s="1">
        <v>6.3021730159759154E-3</v>
      </c>
      <c r="C84" s="5">
        <f t="shared" si="5"/>
        <v>7.9345957116971448E-3</v>
      </c>
      <c r="D84" s="11">
        <f t="shared" si="9"/>
        <v>-1.5261713538424343E-2</v>
      </c>
      <c r="E84" s="11" cm="1">
        <f t="array" ref="E84">IF(ROW()-1&lt;2, 0, INDEX($H:$H, ROW()-1))</f>
        <v>-1.5320473311550065E-2</v>
      </c>
      <c r="F84" s="11" cm="1">
        <f t="array" ref="F84">IF(ROW()-2&lt;2, 0, INDEX($H:$H, ROW()-2))</f>
        <v>5.4453316482925718E-3</v>
      </c>
      <c r="G84" s="2" cm="1">
        <f t="array" ref="G84">IF($B84="","",
 $L$2
 + $L$3 * IF(ROW()-1&gt;=2, INDEX($B:$B, ROW()-1), 0)
 + $L$4 * IF(ROW()-1&gt;=2, INDEX($H:$H, ROW()-1), 0)
 + $L$5 * IF(ROW()-2&gt;=2, INDEX($H:$H, ROW()-2), 0)
)</f>
        <v>-1.6324226957212288E-3</v>
      </c>
      <c r="H84" s="2">
        <f t="shared" si="6"/>
        <v>7.9345957116971448E-3</v>
      </c>
      <c r="I84" s="2">
        <f t="shared" si="7"/>
        <v>6.2957809108082726E-5</v>
      </c>
    </row>
    <row r="85" spans="1:9" x14ac:dyDescent="0.3">
      <c r="A85">
        <f t="shared" si="8"/>
        <v>84</v>
      </c>
      <c r="B85" s="1">
        <v>-3.292114885735796E-2</v>
      </c>
      <c r="C85" s="5">
        <f t="shared" si="5"/>
        <v>-3.4965551930931947E-2</v>
      </c>
      <c r="D85" s="11">
        <f t="shared" si="9"/>
        <v>6.3021730159759154E-3</v>
      </c>
      <c r="E85" s="11" cm="1">
        <f t="array" ref="E85">IF(ROW()-1&lt;2, 0, INDEX($H:$H, ROW()-1))</f>
        <v>7.9345957116971448E-3</v>
      </c>
      <c r="F85" s="11" cm="1">
        <f t="array" ref="F85">IF(ROW()-2&lt;2, 0, INDEX($H:$H, ROW()-2))</f>
        <v>-1.5320473311550065E-2</v>
      </c>
      <c r="G85" s="2" cm="1">
        <f t="array" ref="G85">IF($B85="","",
 $L$2
 + $L$3 * IF(ROW()-1&gt;=2, INDEX($B:$B, ROW()-1), 0)
 + $L$4 * IF(ROW()-1&gt;=2, INDEX($H:$H, ROW()-1), 0)
 + $L$5 * IF(ROW()-2&gt;=2, INDEX($H:$H, ROW()-2), 0)
)</f>
        <v>2.0444030735739882E-3</v>
      </c>
      <c r="H85" s="2">
        <f t="shared" si="6"/>
        <v>-3.4965551930931947E-2</v>
      </c>
      <c r="I85" s="2">
        <f t="shared" si="7"/>
        <v>1.2225898218346989E-3</v>
      </c>
    </row>
    <row r="86" spans="1:9" x14ac:dyDescent="0.3">
      <c r="A86">
        <f t="shared" si="8"/>
        <v>85</v>
      </c>
      <c r="B86" s="1">
        <v>-9.8892145049796678E-3</v>
      </c>
      <c r="C86" s="5">
        <f t="shared" si="5"/>
        <v>-5.7028521128810626E-3</v>
      </c>
      <c r="D86" s="11">
        <f t="shared" si="9"/>
        <v>-3.292114885735796E-2</v>
      </c>
      <c r="E86" s="11" cm="1">
        <f t="array" ref="E86">IF(ROW()-1&lt;2, 0, INDEX($H:$H, ROW()-1))</f>
        <v>-3.4965551930931947E-2</v>
      </c>
      <c r="F86" s="11" cm="1">
        <f t="array" ref="F86">IF(ROW()-2&lt;2, 0, INDEX($H:$H, ROW()-2))</f>
        <v>7.9345957116971448E-3</v>
      </c>
      <c r="G86" s="2" cm="1">
        <f t="array" ref="G86">IF($B86="","",
 $L$2
 + $L$3 * IF(ROW()-1&gt;=2, INDEX($B:$B, ROW()-1), 0)
 + $L$4 * IF(ROW()-1&gt;=2, INDEX($H:$H, ROW()-1), 0)
 + $L$5 * IF(ROW()-2&gt;=2, INDEX($H:$H, ROW()-2), 0)
)</f>
        <v>-4.1863623920986052E-3</v>
      </c>
      <c r="H86" s="2">
        <f t="shared" si="6"/>
        <v>-5.7028521128810626E-3</v>
      </c>
      <c r="I86" s="2">
        <f t="shared" si="7"/>
        <v>3.2522522221392003E-5</v>
      </c>
    </row>
    <row r="87" spans="1:9" x14ac:dyDescent="0.3">
      <c r="A87">
        <f t="shared" si="8"/>
        <v>86</v>
      </c>
      <c r="B87" s="1">
        <v>-3.6634276681035513E-2</v>
      </c>
      <c r="C87" s="5">
        <f t="shared" si="5"/>
        <v>-3.9383723858221156E-2</v>
      </c>
      <c r="D87" s="11">
        <f t="shared" si="9"/>
        <v>-9.8892145049796678E-3</v>
      </c>
      <c r="E87" s="11" cm="1">
        <f t="array" ref="E87">IF(ROW()-1&lt;2, 0, INDEX($H:$H, ROW()-1))</f>
        <v>-5.7028521128810626E-3</v>
      </c>
      <c r="F87" s="11" cm="1">
        <f t="array" ref="F87">IF(ROW()-2&lt;2, 0, INDEX($H:$H, ROW()-2))</f>
        <v>-3.4965551930931947E-2</v>
      </c>
      <c r="G87" s="2" cm="1">
        <f t="array" ref="G87">IF($B87="","",
 $L$2
 + $L$3 * IF(ROW()-1&gt;=2, INDEX($B:$B, ROW()-1), 0)
 + $L$4 * IF(ROW()-1&gt;=2, INDEX($H:$H, ROW()-1), 0)
 + $L$5 * IF(ROW()-2&gt;=2, INDEX($H:$H, ROW()-2), 0)
)</f>
        <v>2.7494471771856424E-3</v>
      </c>
      <c r="H87" s="2">
        <f t="shared" si="6"/>
        <v>-3.9383723858221156E-2</v>
      </c>
      <c r="I87" s="2">
        <f t="shared" si="7"/>
        <v>1.5510777049406183E-3</v>
      </c>
    </row>
    <row r="88" spans="1:9" x14ac:dyDescent="0.3">
      <c r="A88">
        <f t="shared" si="8"/>
        <v>87</v>
      </c>
      <c r="B88" s="1">
        <v>6.5344116293147491E-3</v>
      </c>
      <c r="C88" s="5">
        <f t="shared" si="5"/>
        <v>1.0678712548406633E-2</v>
      </c>
      <c r="D88" s="11">
        <f t="shared" si="9"/>
        <v>-3.6634276681035513E-2</v>
      </c>
      <c r="E88" s="11" cm="1">
        <f t="array" ref="E88">IF(ROW()-1&lt;2, 0, INDEX($H:$H, ROW()-1))</f>
        <v>-3.9383723858221156E-2</v>
      </c>
      <c r="F88" s="11" cm="1">
        <f t="array" ref="F88">IF(ROW()-2&lt;2, 0, INDEX($H:$H, ROW()-2))</f>
        <v>-5.7028521128810626E-3</v>
      </c>
      <c r="G88" s="2" cm="1">
        <f t="array" ref="G88">IF($B88="","",
 $L$2
 + $L$3 * IF(ROW()-1&gt;=2, INDEX($B:$B, ROW()-1), 0)
 + $L$4 * IF(ROW()-1&gt;=2, INDEX($H:$H, ROW()-1), 0)
 + $L$5 * IF(ROW()-2&gt;=2, INDEX($H:$H, ROW()-2), 0)
)</f>
        <v>-4.1443009190918825E-3</v>
      </c>
      <c r="H88" s="2">
        <f t="shared" si="6"/>
        <v>1.0678712548406633E-2</v>
      </c>
      <c r="I88" s="2">
        <f t="shared" si="7"/>
        <v>1.1403490169149728E-4</v>
      </c>
    </row>
    <row r="89" spans="1:9" x14ac:dyDescent="0.3">
      <c r="A89">
        <f t="shared" si="8"/>
        <v>88</v>
      </c>
      <c r="B89" s="1">
        <v>1.7700620086279033E-2</v>
      </c>
      <c r="C89" s="5">
        <f t="shared" si="5"/>
        <v>1.331345377101557E-2</v>
      </c>
      <c r="D89" s="11">
        <f t="shared" si="9"/>
        <v>6.5344116293147491E-3</v>
      </c>
      <c r="E89" s="11" cm="1">
        <f t="array" ref="E89">IF(ROW()-1&lt;2, 0, INDEX($H:$H, ROW()-1))</f>
        <v>1.0678712548406633E-2</v>
      </c>
      <c r="F89" s="11" cm="1">
        <f t="array" ref="F89">IF(ROW()-2&lt;2, 0, INDEX($H:$H, ROW()-2))</f>
        <v>-3.9383723858221156E-2</v>
      </c>
      <c r="G89" s="2" cm="1">
        <f t="array" ref="G89">IF($B89="","",
 $L$2
 + $L$3 * IF(ROW()-1&gt;=2, INDEX($B:$B, ROW()-1), 0)
 + $L$4 * IF(ROW()-1&gt;=2, INDEX($H:$H, ROW()-1), 0)
 + $L$5 * IF(ROW()-2&gt;=2, INDEX($H:$H, ROW()-2), 0)
)</f>
        <v>4.3871663152634617E-3</v>
      </c>
      <c r="H89" s="2">
        <f t="shared" si="6"/>
        <v>1.331345377101557E-2</v>
      </c>
      <c r="I89" s="2">
        <f t="shared" si="7"/>
        <v>1.7724805131296871E-4</v>
      </c>
    </row>
    <row r="90" spans="1:9" x14ac:dyDescent="0.3">
      <c r="A90">
        <f t="shared" si="8"/>
        <v>89</v>
      </c>
      <c r="B90" s="1">
        <v>-1.5931887898213242E-2</v>
      </c>
      <c r="C90" s="5">
        <f t="shared" si="5"/>
        <v>-1.4988873323172511E-2</v>
      </c>
      <c r="D90" s="11">
        <f t="shared" si="9"/>
        <v>1.7700620086279033E-2</v>
      </c>
      <c r="E90" s="11" cm="1">
        <f t="array" ref="E90">IF(ROW()-1&lt;2, 0, INDEX($H:$H, ROW()-1))</f>
        <v>1.331345377101557E-2</v>
      </c>
      <c r="F90" s="11" cm="1">
        <f t="array" ref="F90">IF(ROW()-2&lt;2, 0, INDEX($H:$H, ROW()-2))</f>
        <v>1.0678712548406633E-2</v>
      </c>
      <c r="G90" s="2" cm="1">
        <f t="array" ref="G90">IF($B90="","",
 $L$2
 + $L$3 * IF(ROW()-1&gt;=2, INDEX($B:$B, ROW()-1), 0)
 + $L$4 * IF(ROW()-1&gt;=2, INDEX($H:$H, ROW()-1), 0)
 + $L$5 * IF(ROW()-2&gt;=2, INDEX($H:$H, ROW()-2), 0)
)</f>
        <v>-9.4301457504073123E-4</v>
      </c>
      <c r="H90" s="2">
        <f t="shared" si="6"/>
        <v>-1.4988873323172511E-2</v>
      </c>
      <c r="I90" s="2">
        <f t="shared" si="7"/>
        <v>2.2466632349811257E-4</v>
      </c>
    </row>
    <row r="91" spans="1:9" x14ac:dyDescent="0.3">
      <c r="A91">
        <f t="shared" si="8"/>
        <v>90</v>
      </c>
      <c r="B91" s="1">
        <v>2.1774976308872589E-2</v>
      </c>
      <c r="C91" s="5">
        <f t="shared" si="5"/>
        <v>2.3412118387143611E-2</v>
      </c>
      <c r="D91" s="11">
        <f t="shared" si="9"/>
        <v>-1.5931887898213242E-2</v>
      </c>
      <c r="E91" s="11" cm="1">
        <f t="array" ref="E91">IF(ROW()-1&lt;2, 0, INDEX($H:$H, ROW()-1))</f>
        <v>-1.4988873323172511E-2</v>
      </c>
      <c r="F91" s="11" cm="1">
        <f t="array" ref="F91">IF(ROW()-2&lt;2, 0, INDEX($H:$H, ROW()-2))</f>
        <v>1.331345377101557E-2</v>
      </c>
      <c r="G91" s="2" cm="1">
        <f t="array" ref="G91">IF($B91="","",
 $L$2
 + $L$3 * IF(ROW()-1&gt;=2, INDEX($B:$B, ROW()-1), 0)
 + $L$4 * IF(ROW()-1&gt;=2, INDEX($H:$H, ROW()-1), 0)
 + $L$5 * IF(ROW()-2&gt;=2, INDEX($H:$H, ROW()-2), 0)
)</f>
        <v>-1.6371420782710241E-3</v>
      </c>
      <c r="H91" s="2">
        <f t="shared" si="6"/>
        <v>2.3412118387143611E-2</v>
      </c>
      <c r="I91" s="2">
        <f t="shared" si="7"/>
        <v>5.4812728737362796E-4</v>
      </c>
    </row>
    <row r="92" spans="1:9" x14ac:dyDescent="0.3">
      <c r="A92">
        <f t="shared" si="8"/>
        <v>91</v>
      </c>
      <c r="B92" s="1">
        <v>8.9345377846058987E-3</v>
      </c>
      <c r="C92" s="5">
        <f t="shared" si="5"/>
        <v>5.5519193115252507E-3</v>
      </c>
      <c r="D92" s="11">
        <f t="shared" si="9"/>
        <v>2.1774976308872589E-2</v>
      </c>
      <c r="E92" s="11" cm="1">
        <f t="array" ref="E92">IF(ROW()-1&lt;2, 0, INDEX($H:$H, ROW()-1))</f>
        <v>2.3412118387143611E-2</v>
      </c>
      <c r="F92" s="11" cm="1">
        <f t="array" ref="F92">IF(ROW()-2&lt;2, 0, INDEX($H:$H, ROW()-2))</f>
        <v>-1.4988873323172511E-2</v>
      </c>
      <c r="G92" s="2" cm="1">
        <f t="array" ref="G92">IF($B92="","",
 $L$2
 + $L$3 * IF(ROW()-1&gt;=2, INDEX($B:$B, ROW()-1), 0)
 + $L$4 * IF(ROW()-1&gt;=2, INDEX($H:$H, ROW()-1), 0)
 + $L$5 * IF(ROW()-2&gt;=2, INDEX($H:$H, ROW()-2), 0)
)</f>
        <v>3.3826184730806476E-3</v>
      </c>
      <c r="H92" s="2">
        <f t="shared" si="6"/>
        <v>5.5519193115252507E-3</v>
      </c>
      <c r="I92" s="2">
        <f t="shared" si="7"/>
        <v>3.0823808041687014E-5</v>
      </c>
    </row>
    <row r="93" spans="1:9" x14ac:dyDescent="0.3">
      <c r="A93">
        <f t="shared" si="8"/>
        <v>92</v>
      </c>
      <c r="B93" s="1">
        <v>2.3196663893637445E-2</v>
      </c>
      <c r="C93" s="5">
        <f t="shared" si="5"/>
        <v>2.5093944651111449E-2</v>
      </c>
      <c r="D93" s="11">
        <f t="shared" si="9"/>
        <v>8.9345377846058987E-3</v>
      </c>
      <c r="E93" s="11" cm="1">
        <f t="array" ref="E93">IF(ROW()-1&lt;2, 0, INDEX($H:$H, ROW()-1))</f>
        <v>5.5519193115252507E-3</v>
      </c>
      <c r="F93" s="11" cm="1">
        <f t="array" ref="F93">IF(ROW()-2&lt;2, 0, INDEX($H:$H, ROW()-2))</f>
        <v>2.3412118387143611E-2</v>
      </c>
      <c r="G93" s="2" cm="1">
        <f t="array" ref="G93">IF($B93="","",
 $L$2
 + $L$3 * IF(ROW()-1&gt;=2, INDEX($B:$B, ROW()-1), 0)
 + $L$4 * IF(ROW()-1&gt;=2, INDEX($H:$H, ROW()-1), 0)
 + $L$5 * IF(ROW()-2&gt;=2, INDEX($H:$H, ROW()-2), 0)
)</f>
        <v>-1.8972807574740053E-3</v>
      </c>
      <c r="H93" s="2">
        <f t="shared" si="6"/>
        <v>2.5093944651111449E-2</v>
      </c>
      <c r="I93" s="2">
        <f t="shared" si="7"/>
        <v>6.2970605815304494E-4</v>
      </c>
    </row>
    <row r="94" spans="1:9" x14ac:dyDescent="0.3">
      <c r="A94">
        <f t="shared" si="8"/>
        <v>93</v>
      </c>
      <c r="B94" s="1">
        <v>-4.0931936386458148E-4</v>
      </c>
      <c r="C94" s="5">
        <f t="shared" si="5"/>
        <v>-3.0062681073419889E-3</v>
      </c>
      <c r="D94" s="11">
        <f t="shared" si="9"/>
        <v>2.3196663893637445E-2</v>
      </c>
      <c r="E94" s="11" cm="1">
        <f t="array" ref="E94">IF(ROW()-1&lt;2, 0, INDEX($H:$H, ROW()-1))</f>
        <v>2.5093944651111449E-2</v>
      </c>
      <c r="F94" s="11" cm="1">
        <f t="array" ref="F94">IF(ROW()-2&lt;2, 0, INDEX($H:$H, ROW()-2))</f>
        <v>5.5519193115252507E-3</v>
      </c>
      <c r="G94" s="2" cm="1">
        <f t="array" ref="G94">IF($B94="","",
 $L$2
 + $L$3 * IF(ROW()-1&gt;=2, INDEX($B:$B, ROW()-1), 0)
 + $L$4 * IF(ROW()-1&gt;=2, INDEX($H:$H, ROW()-1), 0)
 + $L$5 * IF(ROW()-2&gt;=2, INDEX($H:$H, ROW()-2), 0)
)</f>
        <v>2.5969487434774072E-3</v>
      </c>
      <c r="H94" s="2">
        <f t="shared" si="6"/>
        <v>-3.0062681073419889E-3</v>
      </c>
      <c r="I94" s="2">
        <f t="shared" si="7"/>
        <v>9.0376479332215836E-6</v>
      </c>
    </row>
    <row r="95" spans="1:9" x14ac:dyDescent="0.3">
      <c r="A95">
        <f t="shared" si="8"/>
        <v>94</v>
      </c>
      <c r="B95" s="1">
        <v>1.9170432210071401E-3</v>
      </c>
      <c r="C95" s="5">
        <f t="shared" si="5"/>
        <v>4.364718722252082E-3</v>
      </c>
      <c r="D95" s="11">
        <f t="shared" si="9"/>
        <v>-4.0931936386458148E-4</v>
      </c>
      <c r="E95" s="11" cm="1">
        <f t="array" ref="E95">IF(ROW()-1&lt;2, 0, INDEX($H:$H, ROW()-1))</f>
        <v>-3.0062681073419889E-3</v>
      </c>
      <c r="F95" s="11" cm="1">
        <f t="array" ref="F95">IF(ROW()-2&lt;2, 0, INDEX($H:$H, ROW()-2))</f>
        <v>2.5093944651111449E-2</v>
      </c>
      <c r="G95" s="2" cm="1">
        <f t="array" ref="G95">IF($B95="","",
 $L$2
 + $L$3 * IF(ROW()-1&gt;=2, INDEX($B:$B, ROW()-1), 0)
 + $L$4 * IF(ROW()-1&gt;=2, INDEX($H:$H, ROW()-1), 0)
 + $L$5 * IF(ROW()-2&gt;=2, INDEX($H:$H, ROW()-2), 0)
)</f>
        <v>-2.4476755012449421E-3</v>
      </c>
      <c r="H95" s="2">
        <f t="shared" si="6"/>
        <v>4.364718722252082E-3</v>
      </c>
      <c r="I95" s="2">
        <f t="shared" si="7"/>
        <v>1.9050769524377846E-5</v>
      </c>
    </row>
    <row r="96" spans="1:9" x14ac:dyDescent="0.3">
      <c r="A96">
        <f t="shared" si="8"/>
        <v>95</v>
      </c>
      <c r="B96" s="1">
        <v>4.08407779549052E-3</v>
      </c>
      <c r="C96" s="5">
        <f t="shared" si="5"/>
        <v>2.6744494708366784E-3</v>
      </c>
      <c r="D96" s="11">
        <f t="shared" si="9"/>
        <v>1.9170432210071401E-3</v>
      </c>
      <c r="E96" s="11" cm="1">
        <f t="array" ref="E96">IF(ROW()-1&lt;2, 0, INDEX($H:$H, ROW()-1))</f>
        <v>4.364718722252082E-3</v>
      </c>
      <c r="F96" s="11" cm="1">
        <f t="array" ref="F96">IF(ROW()-2&lt;2, 0, INDEX($H:$H, ROW()-2))</f>
        <v>-3.0062681073419889E-3</v>
      </c>
      <c r="G96" s="2" cm="1">
        <f t="array" ref="G96">IF($B96="","",
 $L$2
 + $L$3 * IF(ROW()-1&gt;=2, INDEX($B:$B, ROW()-1), 0)
 + $L$4 * IF(ROW()-1&gt;=2, INDEX($H:$H, ROW()-1), 0)
 + $L$5 * IF(ROW()-2&gt;=2, INDEX($H:$H, ROW()-2), 0)
)</f>
        <v>1.4096283246538414E-3</v>
      </c>
      <c r="H96" s="2">
        <f t="shared" si="6"/>
        <v>2.6744494708366784E-3</v>
      </c>
      <c r="I96" s="2">
        <f t="shared" si="7"/>
        <v>7.1526799720585892E-6</v>
      </c>
    </row>
    <row r="97" spans="1:9" x14ac:dyDescent="0.3">
      <c r="A97">
        <f t="shared" si="8"/>
        <v>96</v>
      </c>
      <c r="B97" s="1">
        <v>1.8135048543344794E-2</v>
      </c>
      <c r="C97" s="5">
        <f t="shared" si="5"/>
        <v>1.8624838536348914E-2</v>
      </c>
      <c r="D97" s="11">
        <f t="shared" si="9"/>
        <v>4.08407779549052E-3</v>
      </c>
      <c r="E97" s="11" cm="1">
        <f t="array" ref="E97">IF(ROW()-1&lt;2, 0, INDEX($H:$H, ROW()-1))</f>
        <v>2.6744494708366784E-3</v>
      </c>
      <c r="F97" s="11" cm="1">
        <f t="array" ref="F97">IF(ROW()-2&lt;2, 0, INDEX($H:$H, ROW()-2))</f>
        <v>4.364718722252082E-3</v>
      </c>
      <c r="G97" s="2" cm="1">
        <f t="array" ref="G97">IF($B97="","",
 $L$2
 + $L$3 * IF(ROW()-1&gt;=2, INDEX($B:$B, ROW()-1), 0)
 + $L$4 * IF(ROW()-1&gt;=2, INDEX($H:$H, ROW()-1), 0)
 + $L$5 * IF(ROW()-2&gt;=2, INDEX($H:$H, ROW()-2), 0)
)</f>
        <v>-4.8978999300412155E-4</v>
      </c>
      <c r="H97" s="2">
        <f t="shared" si="6"/>
        <v>1.8624838536348914E-2</v>
      </c>
      <c r="I97" s="2">
        <f t="shared" si="7"/>
        <v>3.4688461050506756E-4</v>
      </c>
    </row>
    <row r="98" spans="1:9" x14ac:dyDescent="0.3">
      <c r="A98">
        <f t="shared" si="8"/>
        <v>97</v>
      </c>
      <c r="B98" s="1">
        <v>-4.5007245934194414E-3</v>
      </c>
      <c r="C98" s="5">
        <f t="shared" si="5"/>
        <v>-6.1710396536909639E-3</v>
      </c>
      <c r="D98" s="11">
        <f t="shared" si="9"/>
        <v>1.8135048543344794E-2</v>
      </c>
      <c r="E98" s="11" cm="1">
        <f t="array" ref="E98">IF(ROW()-1&lt;2, 0, INDEX($H:$H, ROW()-1))</f>
        <v>1.8624838536348914E-2</v>
      </c>
      <c r="F98" s="11" cm="1">
        <f t="array" ref="F98">IF(ROW()-2&lt;2, 0, INDEX($H:$H, ROW()-2))</f>
        <v>2.6744494708366784E-3</v>
      </c>
      <c r="G98" s="2" cm="1">
        <f t="array" ref="G98">IF($B98="","",
 $L$2
 + $L$3 * IF(ROW()-1&gt;=2, INDEX($B:$B, ROW()-1), 0)
 + $L$4 * IF(ROW()-1&gt;=2, INDEX($H:$H, ROW()-1), 0)
 + $L$5 * IF(ROW()-2&gt;=2, INDEX($H:$H, ROW()-2), 0)
)</f>
        <v>1.6703150602715223E-3</v>
      </c>
      <c r="H98" s="2">
        <f t="shared" si="6"/>
        <v>-6.1710396536909639E-3</v>
      </c>
      <c r="I98" s="2">
        <f t="shared" si="7"/>
        <v>3.808173040742629E-5</v>
      </c>
    </row>
    <row r="99" spans="1:9" x14ac:dyDescent="0.3">
      <c r="A99">
        <f t="shared" si="8"/>
        <v>98</v>
      </c>
      <c r="B99" s="1">
        <v>1.8664949850275309E-2</v>
      </c>
      <c r="C99" s="5">
        <f t="shared" si="5"/>
        <v>2.0733820074719016E-2</v>
      </c>
      <c r="D99" s="11">
        <f t="shared" si="9"/>
        <v>-4.5007245934194414E-3</v>
      </c>
      <c r="E99" s="11" cm="1">
        <f t="array" ref="E99">IF(ROW()-1&lt;2, 0, INDEX($H:$H, ROW()-1))</f>
        <v>-6.1710396536909639E-3</v>
      </c>
      <c r="F99" s="11" cm="1">
        <f t="array" ref="F99">IF(ROW()-2&lt;2, 0, INDEX($H:$H, ROW()-2))</f>
        <v>1.8624838536348914E-2</v>
      </c>
      <c r="G99" s="2" cm="1">
        <f t="array" ref="G99">IF($B99="","",
 $L$2
 + $L$3 * IF(ROW()-1&gt;=2, INDEX($B:$B, ROW()-1), 0)
 + $L$4 * IF(ROW()-1&gt;=2, INDEX($H:$H, ROW()-1), 0)
 + $L$5 * IF(ROW()-2&gt;=2, INDEX($H:$H, ROW()-2), 0)
)</f>
        <v>-2.068870224443708E-3</v>
      </c>
      <c r="H99" s="2">
        <f t="shared" si="6"/>
        <v>2.0733820074719016E-2</v>
      </c>
      <c r="I99" s="2">
        <f t="shared" si="7"/>
        <v>4.2989129489082124E-4</v>
      </c>
    </row>
    <row r="100" spans="1:9" x14ac:dyDescent="0.3">
      <c r="A100">
        <f t="shared" si="8"/>
        <v>99</v>
      </c>
      <c r="B100" s="1">
        <v>2.7033456829270077E-3</v>
      </c>
      <c r="C100" s="5">
        <f t="shared" si="5"/>
        <v>-1.5952785087147313E-4</v>
      </c>
      <c r="D100" s="11">
        <f t="shared" si="9"/>
        <v>1.8664949850275309E-2</v>
      </c>
      <c r="E100" s="11" cm="1">
        <f t="array" ref="E100">IF(ROW()-1&lt;2, 0, INDEX($H:$H, ROW()-1))</f>
        <v>2.0733820074719016E-2</v>
      </c>
      <c r="F100" s="11" cm="1">
        <f t="array" ref="F100">IF(ROW()-2&lt;2, 0, INDEX($H:$H, ROW()-2))</f>
        <v>-6.1710396536909639E-3</v>
      </c>
      <c r="G100" s="2" cm="1">
        <f t="array" ref="G100">IF($B100="","",
 $L$2
 + $L$3 * IF(ROW()-1&gt;=2, INDEX($B:$B, ROW()-1), 0)
 + $L$4 * IF(ROW()-1&gt;=2, INDEX($H:$H, ROW()-1), 0)
 + $L$5 * IF(ROW()-2&gt;=2, INDEX($H:$H, ROW()-2), 0)
)</f>
        <v>2.8628735337984808E-3</v>
      </c>
      <c r="H100" s="2">
        <f t="shared" si="6"/>
        <v>-1.5952785087147313E-4</v>
      </c>
      <c r="I100" s="2">
        <f t="shared" si="7"/>
        <v>2.544913520367097E-8</v>
      </c>
    </row>
    <row r="101" spans="1:9" x14ac:dyDescent="0.3">
      <c r="A101">
        <f t="shared" si="8"/>
        <v>100</v>
      </c>
      <c r="B101" s="1">
        <v>3.0549830427552354E-3</v>
      </c>
      <c r="C101" s="5">
        <f t="shared" si="5"/>
        <v>5.1313805661402957E-3</v>
      </c>
      <c r="D101" s="11">
        <f t="shared" si="9"/>
        <v>2.7033456829270077E-3</v>
      </c>
      <c r="E101" s="11" cm="1">
        <f t="array" ref="E101">IF(ROW()-1&lt;2, 0, INDEX($H:$H, ROW()-1))</f>
        <v>-1.5952785087147313E-4</v>
      </c>
      <c r="F101" s="11" cm="1">
        <f t="array" ref="F101">IF(ROW()-2&lt;2, 0, INDEX($H:$H, ROW()-2))</f>
        <v>2.0733820074719016E-2</v>
      </c>
      <c r="G101" s="2" cm="1">
        <f t="array" ref="G101">IF($B101="","",
 $L$2
 + $L$3 * IF(ROW()-1&gt;=2, INDEX($B:$B, ROW()-1), 0)
 + $L$4 * IF(ROW()-1&gt;=2, INDEX($H:$H, ROW()-1), 0)
 + $L$5 * IF(ROW()-2&gt;=2, INDEX($H:$H, ROW()-2), 0)
)</f>
        <v>-2.0763975233850599E-3</v>
      </c>
      <c r="H101" s="2">
        <f t="shared" si="6"/>
        <v>5.1313805661402957E-3</v>
      </c>
      <c r="I101" s="2">
        <f t="shared" si="7"/>
        <v>2.6331066514562303E-5</v>
      </c>
    </row>
    <row r="102" spans="1:9" x14ac:dyDescent="0.3">
      <c r="A102">
        <f t="shared" si="8"/>
        <v>101</v>
      </c>
      <c r="B102" s="1">
        <v>5.2851944058568334E-3</v>
      </c>
      <c r="C102" s="5">
        <f t="shared" si="5"/>
        <v>4.0838994500747312E-3</v>
      </c>
      <c r="D102" s="11">
        <f t="shared" si="9"/>
        <v>3.0549830427552354E-3</v>
      </c>
      <c r="E102" s="11" cm="1">
        <f t="array" ref="E102">IF(ROW()-1&lt;2, 0, INDEX($H:$H, ROW()-1))</f>
        <v>5.1313805661402957E-3</v>
      </c>
      <c r="F102" s="11" cm="1">
        <f t="array" ref="F102">IF(ROW()-2&lt;2, 0, INDEX($H:$H, ROW()-2))</f>
        <v>-1.5952785087147313E-4</v>
      </c>
      <c r="G102" s="2" cm="1">
        <f t="array" ref="G102">IF($B102="","",
 $L$2
 + $L$3 * IF(ROW()-1&gt;=2, INDEX($B:$B, ROW()-1), 0)
 + $L$4 * IF(ROW()-1&gt;=2, INDEX($H:$H, ROW()-1), 0)
 + $L$5 * IF(ROW()-2&gt;=2, INDEX($H:$H, ROW()-2), 0)
)</f>
        <v>1.2012949557821022E-3</v>
      </c>
      <c r="H102" s="2">
        <f t="shared" si="6"/>
        <v>4.0838994500747312E-3</v>
      </c>
      <c r="I102" s="2">
        <f t="shared" si="7"/>
        <v>1.6678234718320692E-5</v>
      </c>
    </row>
    <row r="103" spans="1:9" x14ac:dyDescent="0.3">
      <c r="A103">
        <f t="shared" si="8"/>
        <v>102</v>
      </c>
      <c r="B103" s="1">
        <v>-1.0517299913554072E-2</v>
      </c>
      <c r="C103" s="5">
        <f t="shared" si="5"/>
        <v>-1.0187154966340891E-2</v>
      </c>
      <c r="D103" s="11">
        <f t="shared" si="9"/>
        <v>5.2851944058568334E-3</v>
      </c>
      <c r="E103" s="11" cm="1">
        <f t="array" ref="E103">IF(ROW()-1&lt;2, 0, INDEX($H:$H, ROW()-1))</f>
        <v>4.0838994500747312E-3</v>
      </c>
      <c r="F103" s="11" cm="1">
        <f t="array" ref="F103">IF(ROW()-2&lt;2, 0, INDEX($H:$H, ROW()-2))</f>
        <v>5.1313805661402957E-3</v>
      </c>
      <c r="G103" s="2" cm="1">
        <f t="array" ref="G103">IF($B103="","",
 $L$2
 + $L$3 * IF(ROW()-1&gt;=2, INDEX($B:$B, ROW()-1), 0)
 + $L$4 * IF(ROW()-1&gt;=2, INDEX($H:$H, ROW()-1), 0)
 + $L$5 * IF(ROW()-2&gt;=2, INDEX($H:$H, ROW()-2), 0)
)</f>
        <v>-3.301449472131812E-4</v>
      </c>
      <c r="H103" s="2">
        <f t="shared" si="6"/>
        <v>-1.0187154966340891E-2</v>
      </c>
      <c r="I103" s="2">
        <f t="shared" si="7"/>
        <v>1.0377812630824389E-4</v>
      </c>
    </row>
    <row r="104" spans="1:9" x14ac:dyDescent="0.3">
      <c r="A104">
        <f t="shared" si="8"/>
        <v>103</v>
      </c>
      <c r="B104" s="1">
        <v>-4.0062587283207097E-3</v>
      </c>
      <c r="C104" s="5">
        <f t="shared" si="5"/>
        <v>-3.0300929967711299E-3</v>
      </c>
      <c r="D104" s="11">
        <f t="shared" si="9"/>
        <v>-1.0517299913554072E-2</v>
      </c>
      <c r="E104" s="11" cm="1">
        <f t="array" ref="E104">IF(ROW()-1&lt;2, 0, INDEX($H:$H, ROW()-1))</f>
        <v>-1.0187154966340891E-2</v>
      </c>
      <c r="F104" s="11" cm="1">
        <f t="array" ref="F104">IF(ROW()-2&lt;2, 0, INDEX($H:$H, ROW()-2))</f>
        <v>4.0838994500747312E-3</v>
      </c>
      <c r="G104" s="2" cm="1">
        <f t="array" ref="G104">IF($B104="","",
 $L$2
 + $L$3 * IF(ROW()-1&gt;=2, INDEX($B:$B, ROW()-1), 0)
 + $L$4 * IF(ROW()-1&gt;=2, INDEX($H:$H, ROW()-1), 0)
 + $L$5 * IF(ROW()-2&gt;=2, INDEX($H:$H, ROW()-2), 0)
)</f>
        <v>-9.7616573154957989E-4</v>
      </c>
      <c r="H104" s="2">
        <f t="shared" si="6"/>
        <v>-3.0300929967711299E-3</v>
      </c>
      <c r="I104" s="2">
        <f t="shared" si="7"/>
        <v>9.181463569081446E-6</v>
      </c>
    </row>
    <row r="105" spans="1:9" x14ac:dyDescent="0.3">
      <c r="A105">
        <f t="shared" si="8"/>
        <v>104</v>
      </c>
      <c r="B105" s="1">
        <v>8.8315719965507654E-3</v>
      </c>
      <c r="C105" s="5">
        <f t="shared" si="5"/>
        <v>8.2375128732307557E-3</v>
      </c>
      <c r="D105" s="11">
        <f t="shared" si="9"/>
        <v>-4.0062587283207097E-3</v>
      </c>
      <c r="E105" s="11" cm="1">
        <f t="array" ref="E105">IF(ROW()-1&lt;2, 0, INDEX($H:$H, ROW()-1))</f>
        <v>-3.0300929967711299E-3</v>
      </c>
      <c r="F105" s="11" cm="1">
        <f t="array" ref="F105">IF(ROW()-2&lt;2, 0, INDEX($H:$H, ROW()-2))</f>
        <v>-1.0187154966340891E-2</v>
      </c>
      <c r="G105" s="2" cm="1">
        <f t="array" ref="G105">IF($B105="","",
 $L$2
 + $L$3 * IF(ROW()-1&gt;=2, INDEX($B:$B, ROW()-1), 0)
 + $L$4 * IF(ROW()-1&gt;=2, INDEX($H:$H, ROW()-1), 0)
 + $L$5 * IF(ROW()-2&gt;=2, INDEX($H:$H, ROW()-2), 0)
)</f>
        <v>5.9405912332000956E-4</v>
      </c>
      <c r="H105" s="2">
        <f t="shared" si="6"/>
        <v>8.2375128732307557E-3</v>
      </c>
      <c r="I105" s="2">
        <f t="shared" si="7"/>
        <v>6.7856618336642423E-5</v>
      </c>
    </row>
    <row r="106" spans="1:9" x14ac:dyDescent="0.3">
      <c r="A106">
        <f t="shared" si="8"/>
        <v>105</v>
      </c>
      <c r="B106" s="1">
        <v>8.2410682176544802E-3</v>
      </c>
      <c r="C106" s="5">
        <f t="shared" si="5"/>
        <v>7.5826387773992934E-3</v>
      </c>
      <c r="D106" s="11">
        <f t="shared" si="9"/>
        <v>8.8315719965507654E-3</v>
      </c>
      <c r="E106" s="11" cm="1">
        <f t="array" ref="E106">IF(ROW()-1&lt;2, 0, INDEX($H:$H, ROW()-1))</f>
        <v>8.2375128732307557E-3</v>
      </c>
      <c r="F106" s="11" cm="1">
        <f t="array" ref="F106">IF(ROW()-2&lt;2, 0, INDEX($H:$H, ROW()-2))</f>
        <v>-3.0300929967711299E-3</v>
      </c>
      <c r="G106" s="2" cm="1">
        <f t="array" ref="G106">IF($B106="","",
 $L$2
 + $L$3 * IF(ROW()-1&gt;=2, INDEX($B:$B, ROW()-1), 0)
 + $L$4 * IF(ROW()-1&gt;=2, INDEX($H:$H, ROW()-1), 0)
 + $L$5 * IF(ROW()-2&gt;=2, INDEX($H:$H, ROW()-2), 0)
)</f>
        <v>6.5842944025518656E-4</v>
      </c>
      <c r="H106" s="2">
        <f t="shared" si="6"/>
        <v>7.5826387773992934E-3</v>
      </c>
      <c r="I106" s="2">
        <f t="shared" si="7"/>
        <v>5.7496410828519451E-5</v>
      </c>
    </row>
    <row r="107" spans="1:9" x14ac:dyDescent="0.3">
      <c r="A107">
        <f t="shared" si="8"/>
        <v>106</v>
      </c>
      <c r="B107" s="1">
        <v>-2.7870896835804266E-3</v>
      </c>
      <c r="C107" s="5">
        <f t="shared" si="5"/>
        <v>-2.8023701119026453E-3</v>
      </c>
      <c r="D107" s="11">
        <f t="shared" si="9"/>
        <v>8.2410682176544802E-3</v>
      </c>
      <c r="E107" s="11" cm="1">
        <f t="array" ref="E107">IF(ROW()-1&lt;2, 0, INDEX($H:$H, ROW()-1))</f>
        <v>7.5826387773992934E-3</v>
      </c>
      <c r="F107" s="11" cm="1">
        <f t="array" ref="F107">IF(ROW()-2&lt;2, 0, INDEX($H:$H, ROW()-2))</f>
        <v>8.2375128732307557E-3</v>
      </c>
      <c r="G107" s="2" cm="1">
        <f t="array" ref="G107">IF($B107="","",
 $L$2
 + $L$3 * IF(ROW()-1&gt;=2, INDEX($B:$B, ROW()-1), 0)
 + $L$4 * IF(ROW()-1&gt;=2, INDEX($H:$H, ROW()-1), 0)
 + $L$5 * IF(ROW()-2&gt;=2, INDEX($H:$H, ROW()-2), 0)
)</f>
        <v>1.528042832221895E-5</v>
      </c>
      <c r="H107" s="2">
        <f t="shared" si="6"/>
        <v>-2.8023701119026453E-3</v>
      </c>
      <c r="I107" s="2">
        <f t="shared" si="7"/>
        <v>7.8532782440852455E-6</v>
      </c>
    </row>
    <row r="108" spans="1:9" x14ac:dyDescent="0.3">
      <c r="A108">
        <f t="shared" si="8"/>
        <v>107</v>
      </c>
      <c r="B108" s="1">
        <v>8.2088868779400771E-4</v>
      </c>
      <c r="C108" s="5">
        <f t="shared" si="5"/>
        <v>1.4501085931585456E-3</v>
      </c>
      <c r="D108" s="11">
        <f t="shared" si="9"/>
        <v>-2.7870896835804266E-3</v>
      </c>
      <c r="E108" s="11" cm="1">
        <f t="array" ref="E108">IF(ROW()-1&lt;2, 0, INDEX($H:$H, ROW()-1))</f>
        <v>-2.8023701119026453E-3</v>
      </c>
      <c r="F108" s="11" cm="1">
        <f t="array" ref="F108">IF(ROW()-2&lt;2, 0, INDEX($H:$H, ROW()-2))</f>
        <v>7.5826387773992934E-3</v>
      </c>
      <c r="G108" s="2" cm="1">
        <f t="array" ref="G108">IF($B108="","",
 $L$2
 + $L$3 * IF(ROW()-1&gt;=2, INDEX($B:$B, ROW()-1), 0)
 + $L$4 * IF(ROW()-1&gt;=2, INDEX($H:$H, ROW()-1), 0)
 + $L$5 * IF(ROW()-2&gt;=2, INDEX($H:$H, ROW()-2), 0)
)</f>
        <v>-6.2921990536453777E-4</v>
      </c>
      <c r="H108" s="2">
        <f t="shared" si="6"/>
        <v>1.4501085931585456E-3</v>
      </c>
      <c r="I108" s="2">
        <f t="shared" si="7"/>
        <v>2.1028149319522561E-6</v>
      </c>
    </row>
    <row r="109" spans="1:9" x14ac:dyDescent="0.3">
      <c r="A109">
        <f t="shared" si="8"/>
        <v>108</v>
      </c>
      <c r="B109" s="1">
        <v>-1.3999348446081347E-2</v>
      </c>
      <c r="C109" s="5">
        <f t="shared" si="5"/>
        <v>-1.4491775809748862E-2</v>
      </c>
      <c r="D109" s="11">
        <f t="shared" si="9"/>
        <v>8.2088868779400771E-4</v>
      </c>
      <c r="E109" s="11" cm="1">
        <f t="array" ref="E109">IF(ROW()-1&lt;2, 0, INDEX($H:$H, ROW()-1))</f>
        <v>1.4501085931585456E-3</v>
      </c>
      <c r="F109" s="11" cm="1">
        <f t="array" ref="F109">IF(ROW()-2&lt;2, 0, INDEX($H:$H, ROW()-2))</f>
        <v>-2.8023701119026453E-3</v>
      </c>
      <c r="G109" s="2" cm="1">
        <f t="array" ref="G109">IF($B109="","",
 $L$2
 + $L$3 * IF(ROW()-1&gt;=2, INDEX($B:$B, ROW()-1), 0)
 + $L$4 * IF(ROW()-1&gt;=2, INDEX($H:$H, ROW()-1), 0)
 + $L$5 * IF(ROW()-2&gt;=2, INDEX($H:$H, ROW()-2), 0)
)</f>
        <v>4.9242736366751465E-4</v>
      </c>
      <c r="H109" s="2">
        <f t="shared" si="6"/>
        <v>-1.4491775809748862E-2</v>
      </c>
      <c r="I109" s="2">
        <f t="shared" si="7"/>
        <v>2.1001156612002227E-4</v>
      </c>
    </row>
    <row r="110" spans="1:9" x14ac:dyDescent="0.3">
      <c r="A110">
        <f t="shared" si="8"/>
        <v>109</v>
      </c>
      <c r="B110" s="1">
        <v>-4.0412801923870388E-2</v>
      </c>
      <c r="C110" s="5">
        <f t="shared" si="5"/>
        <v>-3.8896844733422434E-2</v>
      </c>
      <c r="D110" s="11">
        <f t="shared" si="9"/>
        <v>-1.3999348446081347E-2</v>
      </c>
      <c r="E110" s="11" cm="1">
        <f t="array" ref="E110">IF(ROW()-1&lt;2, 0, INDEX($H:$H, ROW()-1))</f>
        <v>-1.4491775809748862E-2</v>
      </c>
      <c r="F110" s="11" cm="1">
        <f t="array" ref="F110">IF(ROW()-2&lt;2, 0, INDEX($H:$H, ROW()-2))</f>
        <v>1.4501085931585456E-3</v>
      </c>
      <c r="G110" s="2" cm="1">
        <f t="array" ref="G110">IF($B110="","",
 $L$2
 + $L$3 * IF(ROW()-1&gt;=2, INDEX($B:$B, ROW()-1), 0)
 + $L$4 * IF(ROW()-1&gt;=2, INDEX($H:$H, ROW()-1), 0)
 + $L$5 * IF(ROW()-2&gt;=2, INDEX($H:$H, ROW()-2), 0)
)</f>
        <v>-1.5159571904479544E-3</v>
      </c>
      <c r="H110" s="2">
        <f t="shared" si="6"/>
        <v>-3.8896844733422434E-2</v>
      </c>
      <c r="I110" s="2">
        <f t="shared" si="7"/>
        <v>1.5129645302159726E-3</v>
      </c>
    </row>
  </sheetData>
  <mergeCells count="1"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Wójtowicz</dc:creator>
  <cp:lastModifiedBy>Małgorzata Leszczyńska</cp:lastModifiedBy>
  <dcterms:created xsi:type="dcterms:W3CDTF">2025-10-15T08:23:29Z</dcterms:created>
  <dcterms:modified xsi:type="dcterms:W3CDTF">2025-10-18T07:20:02Z</dcterms:modified>
</cp:coreProperties>
</file>