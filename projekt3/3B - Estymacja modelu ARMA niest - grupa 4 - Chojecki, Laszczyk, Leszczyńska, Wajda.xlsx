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Dokumenty\Studia\Informatyka i ekonometria II stopień\IiE III Semestr\EFID\"/>
    </mc:Choice>
  </mc:AlternateContent>
  <xr:revisionPtr revIDLastSave="0" documentId="13_ncr:1_{9E130A69-BB57-43E0-83E2-6FECA536C36C}" xr6:coauthVersionLast="47" xr6:coauthVersionMax="47" xr10:uidLastSave="{00000000-0000-0000-0000-000000000000}"/>
  <bookViews>
    <workbookView xWindow="-108" yWindow="-108" windowWidth="23256" windowHeight="12456" xr2:uid="{0DFBD28D-F22E-4ADE-B47D-38B36454D437}"/>
  </bookViews>
  <sheets>
    <sheet name="Arkusz1" sheetId="1" r:id="rId1"/>
  </sheets>
  <definedNames>
    <definedName name="solver_adj" localSheetId="0" hidden="1">Arkusz1!$L$2:$L$5,Arkusz1!$L$10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Arkusz1!$L$10</definedName>
    <definedName name="solver_lhs2" localSheetId="0" hidden="1">Arkusz1!$L$3</definedName>
    <definedName name="solver_lhs3" localSheetId="0" hidden="1">Arkusz1!$L$4</definedName>
    <definedName name="solver_lhs4" localSheetId="0" hidden="1">Arkusz1!$L$4</definedName>
    <definedName name="solver_lhs5" localSheetId="0" hidden="1">Arkusz1!$L$5</definedName>
    <definedName name="solver_lhs6" localSheetId="0" hidden="1">Arkusz1!$L$5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Arkusz1!$L$8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el6" localSheetId="0" hidden="1">3</definedName>
    <definedName name="solver_rhs1" localSheetId="0" hidden="1">0.000001</definedName>
    <definedName name="solver_rhs2" localSheetId="0" hidden="1">-0.999</definedName>
    <definedName name="solver_rhs3" localSheetId="0" hidden="1">0.999</definedName>
    <definedName name="solver_rhs4" localSheetId="0" hidden="1">-0.999</definedName>
    <definedName name="solver_rhs5" localSheetId="0" hidden="1">0.999</definedName>
    <definedName name="solver_rhs6" localSheetId="0" hidden="1">-0.999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U3" i="1"/>
  <c r="U4" i="1" s="1"/>
  <c r="U5" i="1" s="1"/>
  <c r="C2" i="1"/>
  <c r="W2" i="1"/>
  <c r="C3" i="1"/>
  <c r="Q2" i="1"/>
  <c r="G2" i="1"/>
  <c r="L13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5" i="1"/>
  <c r="D6" i="1"/>
  <c r="D4" i="1"/>
  <c r="F3" i="1"/>
  <c r="D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Q3" i="1" l="1"/>
  <c r="Q4" i="1"/>
  <c r="U6" i="1"/>
  <c r="E3" i="1"/>
  <c r="G3" i="1" s="1"/>
  <c r="F4" i="1"/>
  <c r="I2" i="1"/>
  <c r="H2" i="1"/>
  <c r="U7" i="1" l="1"/>
  <c r="H3" i="1"/>
  <c r="I3" i="1"/>
  <c r="F5" i="1"/>
  <c r="E4" i="1"/>
  <c r="G4" i="1" s="1"/>
  <c r="C4" i="1" s="1"/>
  <c r="U8" i="1" l="1"/>
  <c r="I4" i="1"/>
  <c r="H4" i="1"/>
  <c r="F6" i="1"/>
  <c r="E5" i="1"/>
  <c r="G5" i="1" s="1"/>
  <c r="C5" i="1" s="1"/>
  <c r="F7" i="1" s="1"/>
  <c r="U9" i="1" l="1"/>
  <c r="E6" i="1"/>
  <c r="G6" i="1" s="1"/>
  <c r="C6" i="1" s="1"/>
  <c r="I5" i="1"/>
  <c r="H5" i="1"/>
  <c r="U10" i="1" l="1"/>
  <c r="I6" i="1"/>
  <c r="H6" i="1"/>
  <c r="E7" i="1"/>
  <c r="G7" i="1" s="1"/>
  <c r="C7" i="1" s="1"/>
  <c r="F9" i="1" s="1"/>
  <c r="F8" i="1"/>
  <c r="U11" i="1" l="1"/>
  <c r="E8" i="1"/>
  <c r="G8" i="1" s="1"/>
  <c r="C8" i="1" s="1"/>
  <c r="H7" i="1"/>
  <c r="I7" i="1"/>
  <c r="U12" i="1" l="1"/>
  <c r="H8" i="1"/>
  <c r="I8" i="1"/>
  <c r="F10" i="1"/>
  <c r="E9" i="1"/>
  <c r="G9" i="1" s="1"/>
  <c r="C9" i="1" s="1"/>
  <c r="U13" i="1" l="1"/>
  <c r="H9" i="1"/>
  <c r="I9" i="1"/>
  <c r="E10" i="1"/>
  <c r="G10" i="1" s="1"/>
  <c r="C10" i="1" s="1"/>
  <c r="F11" i="1"/>
  <c r="U14" i="1" l="1"/>
  <c r="I10" i="1"/>
  <c r="H10" i="1"/>
  <c r="F12" i="1"/>
  <c r="E11" i="1"/>
  <c r="G11" i="1" s="1"/>
  <c r="C11" i="1" s="1"/>
  <c r="U15" i="1" l="1"/>
  <c r="H11" i="1"/>
  <c r="I11" i="1"/>
  <c r="F13" i="1"/>
  <c r="E12" i="1"/>
  <c r="G12" i="1" s="1"/>
  <c r="C12" i="1" s="1"/>
  <c r="U16" i="1" l="1"/>
  <c r="I12" i="1"/>
  <c r="H12" i="1"/>
  <c r="E13" i="1"/>
  <c r="G13" i="1" s="1"/>
  <c r="C13" i="1" s="1"/>
  <c r="F14" i="1"/>
  <c r="U17" i="1" l="1"/>
  <c r="I13" i="1"/>
  <c r="H13" i="1"/>
  <c r="E14" i="1"/>
  <c r="G14" i="1" s="1"/>
  <c r="C14" i="1" s="1"/>
  <c r="F15" i="1"/>
  <c r="U18" i="1" l="1"/>
  <c r="I14" i="1"/>
  <c r="H14" i="1"/>
  <c r="E15" i="1"/>
  <c r="G15" i="1" s="1"/>
  <c r="C15" i="1" s="1"/>
  <c r="F16" i="1"/>
  <c r="U19" i="1" l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F17" i="1"/>
  <c r="H15" i="1"/>
  <c r="I15" i="1"/>
  <c r="E16" i="1"/>
  <c r="G16" i="1" s="1"/>
  <c r="C16" i="1" s="1"/>
  <c r="U45" i="1" l="1"/>
  <c r="H16" i="1"/>
  <c r="I16" i="1"/>
  <c r="E17" i="1"/>
  <c r="G17" i="1" s="1"/>
  <c r="C17" i="1" s="1"/>
  <c r="F18" i="1"/>
  <c r="U46" i="1" l="1"/>
  <c r="H17" i="1"/>
  <c r="I17" i="1"/>
  <c r="F19" i="1"/>
  <c r="E18" i="1"/>
  <c r="G18" i="1" s="1"/>
  <c r="C18" i="1" s="1"/>
  <c r="U47" i="1" l="1"/>
  <c r="H18" i="1"/>
  <c r="I18" i="1"/>
  <c r="F20" i="1"/>
  <c r="E19" i="1"/>
  <c r="G19" i="1" s="1"/>
  <c r="C19" i="1" s="1"/>
  <c r="U48" i="1" l="1"/>
  <c r="I19" i="1"/>
  <c r="H19" i="1"/>
  <c r="F21" i="1"/>
  <c r="E20" i="1"/>
  <c r="G20" i="1" s="1"/>
  <c r="C20" i="1" s="1"/>
  <c r="U49" i="1" l="1"/>
  <c r="I20" i="1"/>
  <c r="H20" i="1"/>
  <c r="F22" i="1"/>
  <c r="E21" i="1"/>
  <c r="G21" i="1" s="1"/>
  <c r="C21" i="1" s="1"/>
  <c r="U50" i="1" l="1"/>
  <c r="I21" i="1"/>
  <c r="H21" i="1"/>
  <c r="E22" i="1"/>
  <c r="G22" i="1" s="1"/>
  <c r="C22" i="1" s="1"/>
  <c r="F23" i="1"/>
  <c r="U51" i="1" l="1"/>
  <c r="I22" i="1"/>
  <c r="H22" i="1"/>
  <c r="E23" i="1"/>
  <c r="G23" i="1" s="1"/>
  <c r="C23" i="1" s="1"/>
  <c r="F24" i="1"/>
  <c r="U52" i="1" l="1"/>
  <c r="W3" i="1" s="1" a="1"/>
  <c r="W3" i="1" s="1"/>
  <c r="H23" i="1"/>
  <c r="I23" i="1"/>
  <c r="F25" i="1"/>
  <c r="E24" i="1"/>
  <c r="G24" i="1" s="1"/>
  <c r="C24" i="1" s="1"/>
  <c r="P2" i="1" l="1"/>
  <c r="P3" i="1"/>
  <c r="P4" i="1"/>
  <c r="AA9" i="1"/>
  <c r="H24" i="1"/>
  <c r="I24" i="1"/>
  <c r="E25" i="1"/>
  <c r="G25" i="1" s="1"/>
  <c r="C25" i="1" s="1"/>
  <c r="F26" i="1"/>
  <c r="AA7" i="1" l="1"/>
  <c r="W4" i="1"/>
  <c r="AA8" i="1"/>
  <c r="AA2" i="1"/>
  <c r="AA3" i="1"/>
  <c r="AA5" i="1"/>
  <c r="AA11" i="1"/>
  <c r="AA6" i="1"/>
  <c r="AA4" i="1"/>
  <c r="AA10" i="1"/>
  <c r="H25" i="1"/>
  <c r="I25" i="1"/>
  <c r="F27" i="1"/>
  <c r="E26" i="1"/>
  <c r="G26" i="1" s="1"/>
  <c r="C26" i="1" s="1"/>
  <c r="I26" i="1" l="1"/>
  <c r="H26" i="1"/>
  <c r="F28" i="1"/>
  <c r="E27" i="1"/>
  <c r="G27" i="1" s="1"/>
  <c r="C27" i="1" s="1"/>
  <c r="I27" i="1" l="1"/>
  <c r="H27" i="1"/>
  <c r="E28" i="1"/>
  <c r="G28" i="1" s="1"/>
  <c r="C28" i="1" s="1"/>
  <c r="F29" i="1"/>
  <c r="I28" i="1" l="1"/>
  <c r="H28" i="1"/>
  <c r="E29" i="1"/>
  <c r="G29" i="1" s="1"/>
  <c r="C29" i="1" s="1"/>
  <c r="F30" i="1"/>
  <c r="I29" i="1" l="1"/>
  <c r="H29" i="1"/>
  <c r="F31" i="1"/>
  <c r="E30" i="1"/>
  <c r="G30" i="1" s="1"/>
  <c r="C30" i="1" s="1"/>
  <c r="I30" i="1" l="1"/>
  <c r="H30" i="1"/>
  <c r="E31" i="1"/>
  <c r="G31" i="1" s="1"/>
  <c r="C31" i="1" s="1"/>
  <c r="F32" i="1"/>
  <c r="H31" i="1" l="1"/>
  <c r="I31" i="1"/>
  <c r="F33" i="1"/>
  <c r="E32" i="1"/>
  <c r="G32" i="1" s="1"/>
  <c r="C32" i="1" s="1"/>
  <c r="H32" i="1" l="1"/>
  <c r="I32" i="1"/>
  <c r="E33" i="1"/>
  <c r="G33" i="1" s="1"/>
  <c r="C33" i="1" s="1"/>
  <c r="F34" i="1"/>
  <c r="H33" i="1" l="1"/>
  <c r="I33" i="1"/>
  <c r="F35" i="1"/>
  <c r="E34" i="1"/>
  <c r="G34" i="1" s="1"/>
  <c r="C34" i="1" s="1"/>
  <c r="I34" i="1" l="1"/>
  <c r="H34" i="1"/>
  <c r="F36" i="1"/>
  <c r="E35" i="1"/>
  <c r="G35" i="1" s="1"/>
  <c r="C35" i="1" s="1"/>
  <c r="H35" i="1" l="1"/>
  <c r="I35" i="1"/>
  <c r="F37" i="1"/>
  <c r="E36" i="1"/>
  <c r="G36" i="1" s="1"/>
  <c r="C36" i="1" s="1"/>
  <c r="I36" i="1" l="1"/>
  <c r="H36" i="1"/>
  <c r="F38" i="1"/>
  <c r="E37" i="1"/>
  <c r="G37" i="1" s="1"/>
  <c r="C37" i="1" s="1"/>
  <c r="I37" i="1" l="1"/>
  <c r="H37" i="1"/>
  <c r="F39" i="1"/>
  <c r="E38" i="1"/>
  <c r="G38" i="1" s="1"/>
  <c r="C38" i="1" s="1"/>
  <c r="I38" i="1" l="1"/>
  <c r="H38" i="1"/>
  <c r="E39" i="1"/>
  <c r="G39" i="1" s="1"/>
  <c r="C39" i="1" s="1"/>
  <c r="F40" i="1"/>
  <c r="H39" i="1" l="1"/>
  <c r="I39" i="1"/>
  <c r="F41" i="1"/>
  <c r="E40" i="1"/>
  <c r="G40" i="1" s="1"/>
  <c r="C40" i="1" s="1"/>
  <c r="H40" i="1" l="1"/>
  <c r="I40" i="1"/>
  <c r="E41" i="1"/>
  <c r="G41" i="1" s="1"/>
  <c r="C41" i="1" s="1"/>
  <c r="F42" i="1"/>
  <c r="H41" i="1" l="1"/>
  <c r="I41" i="1"/>
  <c r="F43" i="1"/>
  <c r="E42" i="1"/>
  <c r="G42" i="1" s="1"/>
  <c r="C42" i="1" s="1"/>
  <c r="H42" i="1" l="1"/>
  <c r="I42" i="1"/>
  <c r="E43" i="1"/>
  <c r="G43" i="1" s="1"/>
  <c r="C43" i="1" s="1"/>
  <c r="F44" i="1"/>
  <c r="I43" i="1" l="1"/>
  <c r="H43" i="1"/>
  <c r="F45" i="1"/>
  <c r="E44" i="1"/>
  <c r="G44" i="1" s="1"/>
  <c r="C44" i="1" s="1"/>
  <c r="I44" i="1" l="1"/>
  <c r="H44" i="1"/>
  <c r="F46" i="1"/>
  <c r="E45" i="1"/>
  <c r="G45" i="1" s="1"/>
  <c r="C45" i="1" s="1"/>
  <c r="I45" i="1" l="1"/>
  <c r="H45" i="1"/>
  <c r="E46" i="1"/>
  <c r="G46" i="1" s="1"/>
  <c r="C46" i="1" s="1"/>
  <c r="F47" i="1"/>
  <c r="I46" i="1" l="1"/>
  <c r="H46" i="1"/>
  <c r="E47" i="1"/>
  <c r="G47" i="1" s="1"/>
  <c r="C47" i="1" s="1"/>
  <c r="F48" i="1"/>
  <c r="H47" i="1" l="1"/>
  <c r="I47" i="1"/>
  <c r="E48" i="1"/>
  <c r="G48" i="1" s="1"/>
  <c r="C48" i="1" s="1"/>
  <c r="F49" i="1"/>
  <c r="H48" i="1" l="1"/>
  <c r="I48" i="1"/>
  <c r="F50" i="1"/>
  <c r="E49" i="1"/>
  <c r="G49" i="1" s="1"/>
  <c r="C49" i="1" s="1"/>
  <c r="H49" i="1" l="1"/>
  <c r="I49" i="1"/>
  <c r="E50" i="1"/>
  <c r="G50" i="1" s="1"/>
  <c r="C50" i="1" s="1"/>
  <c r="F51" i="1"/>
  <c r="I50" i="1" l="1"/>
  <c r="H50" i="1"/>
  <c r="F52" i="1"/>
  <c r="E51" i="1"/>
  <c r="G51" i="1" s="1"/>
  <c r="C51" i="1" s="1"/>
  <c r="H51" i="1" l="1"/>
  <c r="I51" i="1"/>
  <c r="F53" i="1"/>
  <c r="E52" i="1"/>
  <c r="G52" i="1" s="1"/>
  <c r="C52" i="1" s="1"/>
  <c r="I52" i="1" l="1"/>
  <c r="H52" i="1"/>
  <c r="F54" i="1"/>
  <c r="E53" i="1"/>
  <c r="G53" i="1" s="1"/>
  <c r="C53" i="1" s="1"/>
  <c r="I53" i="1" l="1"/>
  <c r="H53" i="1"/>
  <c r="E54" i="1"/>
  <c r="G54" i="1" s="1"/>
  <c r="C54" i="1" s="1"/>
  <c r="F55" i="1"/>
  <c r="I54" i="1" l="1"/>
  <c r="H54" i="1"/>
  <c r="E55" i="1"/>
  <c r="G55" i="1" s="1"/>
  <c r="C55" i="1" s="1"/>
  <c r="F56" i="1"/>
  <c r="H55" i="1" l="1"/>
  <c r="I55" i="1"/>
  <c r="F57" i="1"/>
  <c r="E56" i="1"/>
  <c r="G56" i="1" s="1"/>
  <c r="C56" i="1" s="1"/>
  <c r="H56" i="1" l="1"/>
  <c r="I56" i="1"/>
  <c r="F58" i="1"/>
  <c r="E57" i="1"/>
  <c r="G57" i="1" s="1"/>
  <c r="C57" i="1" s="1"/>
  <c r="H57" i="1" l="1"/>
  <c r="I57" i="1"/>
  <c r="F59" i="1"/>
  <c r="E58" i="1"/>
  <c r="G58" i="1" s="1"/>
  <c r="C58" i="1" s="1"/>
  <c r="I58" i="1" l="1"/>
  <c r="H58" i="1"/>
  <c r="F60" i="1"/>
  <c r="E59" i="1"/>
  <c r="G59" i="1" s="1"/>
  <c r="C59" i="1" s="1"/>
  <c r="H59" i="1" l="1"/>
  <c r="I59" i="1"/>
  <c r="F61" i="1"/>
  <c r="E60" i="1"/>
  <c r="G60" i="1" s="1"/>
  <c r="C60" i="1" s="1"/>
  <c r="I60" i="1" l="1"/>
  <c r="H60" i="1"/>
  <c r="E61" i="1"/>
  <c r="G61" i="1" s="1"/>
  <c r="C61" i="1" s="1"/>
  <c r="F62" i="1"/>
  <c r="I61" i="1" l="1"/>
  <c r="H61" i="1"/>
  <c r="E62" i="1"/>
  <c r="G62" i="1" s="1"/>
  <c r="C62" i="1" s="1"/>
  <c r="F63" i="1"/>
  <c r="I62" i="1" l="1"/>
  <c r="H62" i="1"/>
  <c r="F64" i="1"/>
  <c r="E63" i="1"/>
  <c r="G63" i="1" s="1"/>
  <c r="C63" i="1" s="1"/>
  <c r="H63" i="1" l="1"/>
  <c r="I63" i="1"/>
  <c r="F65" i="1"/>
  <c r="E64" i="1"/>
  <c r="G64" i="1" s="1"/>
  <c r="C64" i="1" s="1"/>
  <c r="H64" i="1" l="1"/>
  <c r="I64" i="1"/>
  <c r="E65" i="1"/>
  <c r="G65" i="1" s="1"/>
  <c r="C65" i="1" s="1"/>
  <c r="F66" i="1"/>
  <c r="H65" i="1" l="1"/>
  <c r="I65" i="1"/>
  <c r="F67" i="1"/>
  <c r="E66" i="1"/>
  <c r="G66" i="1" s="1"/>
  <c r="C66" i="1" s="1"/>
  <c r="H66" i="1" l="1"/>
  <c r="I66" i="1"/>
  <c r="E67" i="1"/>
  <c r="G67" i="1" s="1"/>
  <c r="C67" i="1" s="1"/>
  <c r="F68" i="1"/>
  <c r="I67" i="1" l="1"/>
  <c r="H67" i="1"/>
  <c r="F69" i="1"/>
  <c r="E68" i="1"/>
  <c r="G68" i="1" s="1"/>
  <c r="C68" i="1" s="1"/>
  <c r="I68" i="1" l="1"/>
  <c r="H68" i="1"/>
  <c r="E69" i="1"/>
  <c r="G69" i="1" s="1"/>
  <c r="C69" i="1" s="1"/>
  <c r="F70" i="1"/>
  <c r="I69" i="1" l="1"/>
  <c r="H69" i="1"/>
  <c r="F71" i="1"/>
  <c r="E70" i="1"/>
  <c r="G70" i="1" s="1"/>
  <c r="C70" i="1" s="1"/>
  <c r="I70" i="1" l="1"/>
  <c r="H70" i="1"/>
  <c r="F72" i="1"/>
  <c r="E71" i="1"/>
  <c r="G71" i="1" s="1"/>
  <c r="C71" i="1" s="1"/>
  <c r="H71" i="1" l="1"/>
  <c r="I71" i="1"/>
  <c r="E72" i="1"/>
  <c r="G72" i="1" s="1"/>
  <c r="C72" i="1" s="1"/>
  <c r="F73" i="1"/>
  <c r="H72" i="1" l="1"/>
  <c r="I72" i="1"/>
  <c r="F74" i="1"/>
  <c r="E73" i="1"/>
  <c r="G73" i="1" s="1"/>
  <c r="C73" i="1" s="1"/>
  <c r="H73" i="1" l="1"/>
  <c r="I73" i="1"/>
  <c r="F75" i="1"/>
  <c r="E74" i="1"/>
  <c r="G74" i="1" s="1"/>
  <c r="C74" i="1" s="1"/>
  <c r="I74" i="1" l="1"/>
  <c r="H74" i="1"/>
  <c r="F76" i="1"/>
  <c r="E75" i="1"/>
  <c r="G75" i="1" s="1"/>
  <c r="C75" i="1" s="1"/>
  <c r="H75" i="1" l="1"/>
  <c r="I75" i="1"/>
  <c r="F77" i="1"/>
  <c r="E76" i="1"/>
  <c r="G76" i="1" s="1"/>
  <c r="C76" i="1" s="1"/>
  <c r="I76" i="1" l="1"/>
  <c r="H76" i="1"/>
  <c r="F78" i="1"/>
  <c r="E77" i="1"/>
  <c r="G77" i="1" s="1"/>
  <c r="C77" i="1" s="1"/>
  <c r="I77" i="1" l="1"/>
  <c r="H77" i="1"/>
  <c r="F79" i="1"/>
  <c r="E78" i="1"/>
  <c r="G78" i="1" s="1"/>
  <c r="C78" i="1" s="1"/>
  <c r="I78" i="1" l="1"/>
  <c r="H78" i="1"/>
  <c r="E79" i="1"/>
  <c r="G79" i="1" s="1"/>
  <c r="C79" i="1" s="1"/>
  <c r="F80" i="1"/>
  <c r="I79" i="1" l="1"/>
  <c r="H79" i="1"/>
  <c r="E80" i="1"/>
  <c r="G80" i="1" s="1"/>
  <c r="C80" i="1" s="1"/>
  <c r="F81" i="1"/>
  <c r="H80" i="1" l="1"/>
  <c r="I80" i="1"/>
  <c r="E81" i="1"/>
  <c r="G81" i="1" s="1"/>
  <c r="C81" i="1" s="1"/>
  <c r="F82" i="1"/>
  <c r="H81" i="1" l="1"/>
  <c r="I81" i="1"/>
  <c r="F83" i="1"/>
  <c r="E82" i="1"/>
  <c r="G82" i="1" s="1"/>
  <c r="C82" i="1" s="1"/>
  <c r="I82" i="1" l="1"/>
  <c r="H82" i="1"/>
  <c r="E83" i="1"/>
  <c r="G83" i="1" s="1"/>
  <c r="C83" i="1" s="1"/>
  <c r="F84" i="1"/>
  <c r="I83" i="1" l="1"/>
  <c r="H83" i="1"/>
  <c r="F85" i="1"/>
  <c r="E84" i="1"/>
  <c r="G84" i="1" s="1"/>
  <c r="C84" i="1" s="1"/>
  <c r="I84" i="1" l="1"/>
  <c r="H84" i="1"/>
  <c r="E85" i="1"/>
  <c r="G85" i="1" s="1"/>
  <c r="C85" i="1" s="1"/>
  <c r="F86" i="1"/>
  <c r="I85" i="1" l="1"/>
  <c r="H85" i="1"/>
  <c r="E86" i="1"/>
  <c r="G86" i="1" s="1"/>
  <c r="C86" i="1" s="1"/>
  <c r="F87" i="1"/>
  <c r="I86" i="1" l="1"/>
  <c r="H86" i="1"/>
  <c r="F88" i="1"/>
  <c r="E87" i="1"/>
  <c r="G87" i="1" s="1"/>
  <c r="C87" i="1" s="1"/>
  <c r="H87" i="1" l="1"/>
  <c r="I87" i="1"/>
  <c r="F89" i="1"/>
  <c r="E88" i="1"/>
  <c r="G88" i="1" s="1"/>
  <c r="C88" i="1" s="1"/>
  <c r="H88" i="1" l="1"/>
  <c r="I88" i="1"/>
  <c r="E89" i="1"/>
  <c r="G89" i="1" s="1"/>
  <c r="C89" i="1" s="1"/>
  <c r="F90" i="1"/>
  <c r="H89" i="1" l="1"/>
  <c r="I89" i="1"/>
  <c r="F91" i="1"/>
  <c r="E90" i="1"/>
  <c r="G90" i="1" s="1"/>
  <c r="C90" i="1" s="1"/>
  <c r="I90" i="1" l="1"/>
  <c r="H90" i="1"/>
  <c r="F92" i="1"/>
  <c r="E91" i="1"/>
  <c r="G91" i="1" s="1"/>
  <c r="C91" i="1" s="1"/>
  <c r="H91" i="1" l="1"/>
  <c r="I91" i="1"/>
  <c r="F93" i="1"/>
  <c r="E92" i="1"/>
  <c r="G92" i="1" s="1"/>
  <c r="C92" i="1" s="1"/>
  <c r="I92" i="1" l="1"/>
  <c r="H92" i="1"/>
  <c r="E93" i="1"/>
  <c r="G93" i="1" s="1"/>
  <c r="C93" i="1" s="1"/>
  <c r="F94" i="1"/>
  <c r="I93" i="1" l="1"/>
  <c r="H93" i="1"/>
  <c r="E94" i="1"/>
  <c r="G94" i="1" s="1"/>
  <c r="C94" i="1" s="1"/>
  <c r="F95" i="1"/>
  <c r="I94" i="1" l="1"/>
  <c r="H94" i="1"/>
  <c r="F96" i="1"/>
  <c r="E95" i="1"/>
  <c r="G95" i="1" s="1"/>
  <c r="C95" i="1" s="1"/>
  <c r="H95" i="1" l="1"/>
  <c r="I95" i="1"/>
  <c r="F97" i="1"/>
  <c r="E96" i="1"/>
  <c r="G96" i="1" s="1"/>
  <c r="C96" i="1" s="1"/>
  <c r="H96" i="1" l="1"/>
  <c r="I96" i="1"/>
  <c r="E97" i="1"/>
  <c r="G97" i="1" s="1"/>
  <c r="C97" i="1" s="1"/>
  <c r="F98" i="1"/>
  <c r="H97" i="1" l="1"/>
  <c r="I97" i="1"/>
  <c r="F99" i="1"/>
  <c r="E98" i="1"/>
  <c r="G98" i="1" s="1"/>
  <c r="C98" i="1" s="1"/>
  <c r="H98" i="1" l="1"/>
  <c r="I98" i="1"/>
  <c r="E99" i="1"/>
  <c r="G99" i="1" s="1"/>
  <c r="C99" i="1" s="1"/>
  <c r="F100" i="1"/>
  <c r="I99" i="1" l="1"/>
  <c r="H99" i="1"/>
  <c r="F101" i="1"/>
  <c r="E100" i="1"/>
  <c r="G100" i="1" s="1"/>
  <c r="C100" i="1" s="1"/>
  <c r="I100" i="1" l="1"/>
  <c r="H100" i="1"/>
  <c r="F102" i="1"/>
  <c r="E101" i="1"/>
  <c r="G101" i="1" s="1"/>
  <c r="C101" i="1" s="1"/>
  <c r="I101" i="1" l="1"/>
  <c r="H101" i="1"/>
  <c r="E102" i="1"/>
  <c r="G102" i="1" s="1"/>
  <c r="C102" i="1" s="1"/>
  <c r="F103" i="1"/>
  <c r="I102" i="1" l="1"/>
  <c r="H102" i="1"/>
  <c r="E103" i="1"/>
  <c r="G103" i="1" s="1"/>
  <c r="C103" i="1" s="1"/>
  <c r="F104" i="1"/>
  <c r="H103" i="1" l="1"/>
  <c r="I103" i="1"/>
  <c r="E104" i="1"/>
  <c r="G104" i="1" s="1"/>
  <c r="C104" i="1" s="1"/>
  <c r="F105" i="1"/>
  <c r="H104" i="1" l="1"/>
  <c r="I104" i="1"/>
  <c r="F106" i="1"/>
  <c r="E105" i="1"/>
  <c r="G105" i="1" s="1"/>
  <c r="C105" i="1" s="1"/>
  <c r="H105" i="1" l="1"/>
  <c r="I105" i="1"/>
  <c r="F107" i="1"/>
  <c r="E106" i="1"/>
  <c r="G106" i="1" s="1"/>
  <c r="C106" i="1" s="1"/>
  <c r="I106" i="1" l="1"/>
  <c r="H106" i="1"/>
  <c r="E107" i="1"/>
  <c r="G107" i="1" s="1"/>
  <c r="C107" i="1" s="1"/>
  <c r="F108" i="1"/>
  <c r="I107" i="1" l="1"/>
  <c r="H107" i="1"/>
  <c r="E108" i="1"/>
  <c r="G108" i="1" s="1"/>
  <c r="C108" i="1" s="1"/>
  <c r="F109" i="1"/>
  <c r="H108" i="1" l="1"/>
  <c r="I108" i="1"/>
  <c r="E109" i="1"/>
  <c r="G109" i="1" s="1"/>
  <c r="C109" i="1" s="1"/>
  <c r="F110" i="1"/>
  <c r="I109" i="1" l="1"/>
  <c r="H109" i="1"/>
  <c r="E110" i="1"/>
  <c r="G110" i="1" s="1"/>
  <c r="C110" i="1" s="1"/>
  <c r="O2" i="1" s="1"/>
  <c r="O3" i="1" l="1"/>
  <c r="R2" i="1"/>
  <c r="T2" i="1"/>
  <c r="I110" i="1"/>
  <c r="H110" i="1"/>
  <c r="O4" i="1" s="1"/>
  <c r="R4" i="1" l="1"/>
  <c r="S4" i="1"/>
  <c r="T4" i="1"/>
  <c r="S3" i="1"/>
  <c r="R3" i="1"/>
  <c r="T3" i="1"/>
  <c r="L9" i="1"/>
  <c r="L8" i="1" s="1"/>
  <c r="L11" i="1" s="1"/>
  <c r="L1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<sst xmlns="http://schemas.openxmlformats.org/spreadsheetml/2006/main" count="46" uniqueCount="46">
  <si>
    <t>reszty</t>
  </si>
  <si>
    <t>X_t</t>
  </si>
  <si>
    <t>E(X_t)</t>
  </si>
  <si>
    <t>var(X_t)</t>
  </si>
  <si>
    <t>P(X_t&gt;0)</t>
  </si>
  <si>
    <t>ro2</t>
  </si>
  <si>
    <t>ro1</t>
  </si>
  <si>
    <t>ro3</t>
  </si>
  <si>
    <t>ro4</t>
  </si>
  <si>
    <t>ro5</t>
  </si>
  <si>
    <t>ro6</t>
  </si>
  <si>
    <t>ro7</t>
  </si>
  <si>
    <t>ro9</t>
  </si>
  <si>
    <t>ro10</t>
  </si>
  <si>
    <t>Współczynniki autokorelacji (obliczone na podstawie oszacowanych parametrów modelu)</t>
  </si>
  <si>
    <t>parametry modelu</t>
  </si>
  <si>
    <t>oszacowane wartości</t>
  </si>
  <si>
    <t>prognozy</t>
  </si>
  <si>
    <t>h</t>
  </si>
  <si>
    <t>wariancje błędów prognoz</t>
  </si>
  <si>
    <t>przedział ufności - dół</t>
  </si>
  <si>
    <t>przedział ufności - góra</t>
  </si>
  <si>
    <t>alfa</t>
  </si>
  <si>
    <t>ARMA(1,2)</t>
  </si>
  <si>
    <t>Indeks (t)</t>
  </si>
  <si>
    <t>e_t-1</t>
  </si>
  <si>
    <t>e_t-2</t>
  </si>
  <si>
    <t>e_t</t>
  </si>
  <si>
    <t>e_t^2</t>
  </si>
  <si>
    <t>c (const)</t>
  </si>
  <si>
    <t>phi1</t>
  </si>
  <si>
    <t>theta1</t>
  </si>
  <si>
    <t>theta2</t>
  </si>
  <si>
    <t>Komórki pomocnicze</t>
  </si>
  <si>
    <t>SSR</t>
  </si>
  <si>
    <t>sigma2</t>
  </si>
  <si>
    <t>AIC</t>
  </si>
  <si>
    <t>BIC</t>
  </si>
  <si>
    <t>LastRow</t>
  </si>
  <si>
    <t>Pomocniczny wektor - psi</t>
  </si>
  <si>
    <t>ro8</t>
  </si>
  <si>
    <t>Prawdopodobieństwo P(X_T+h&gt;0)</t>
  </si>
  <si>
    <t>wariancje prognoz</t>
  </si>
  <si>
    <t>X_hat</t>
  </si>
  <si>
    <t>X_t-1 (lag X)</t>
  </si>
  <si>
    <t>NEGLOG = ujemna log-likelihood (cel minimalizacji)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</si>
</sst>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</font>
    <font>
      <sz val="10"/>
      <color theme="1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01C3-B9FD-487D-9C2A-DEEF11180A7E}">
  <dimension ref="A1:AB110"/>
  <sheetViews>
    <sheetView tabSelected="1" workbookViewId="0">
      <selection activeCell="E2" sqref="E2"/>
    </sheetView>
  </sheetViews>
  <sheetFormatPr defaultRowHeight="14.4" x14ac:dyDescent="0.3"/>
  <cols>
    <col min="2" max="8" width="8.88671875" style="2"/>
    <col min="9" max="9" width="12" style="2" bestFit="1" customWidth="1"/>
    <col min="10" max="10" width="8.88671875" style="2"/>
    <col min="11" max="11" width="16.109375" style="2" customWidth="1"/>
    <col min="12" max="12" width="13.44140625" style="2" customWidth="1"/>
    <col min="13" max="15" width="8.88671875" style="2"/>
    <col min="16" max="16" width="12" style="2" bestFit="1" customWidth="1"/>
    <col min="17" max="19" width="8.88671875" style="2"/>
    <col min="20" max="20" width="14.21875" style="2" customWidth="1"/>
    <col min="21" max="21" width="13.5546875" style="2" customWidth="1"/>
    <col min="22" max="26" width="8.88671875" style="2"/>
    <col min="27" max="27" width="17.21875" style="2" customWidth="1"/>
    <col min="28" max="28" width="8.88671875" style="2"/>
  </cols>
  <sheetData>
    <row r="1" spans="1:28" s="4" customFormat="1" ht="73.2" customHeight="1" x14ac:dyDescent="0.3">
      <c r="A1" s="4" t="s">
        <v>24</v>
      </c>
      <c r="B1" s="3" t="s">
        <v>1</v>
      </c>
      <c r="C1" s="6" t="s">
        <v>0</v>
      </c>
      <c r="D1" s="4" t="s">
        <v>44</v>
      </c>
      <c r="E1" s="4" t="s">
        <v>25</v>
      </c>
      <c r="F1" s="4" t="s">
        <v>26</v>
      </c>
      <c r="G1" s="4" t="s">
        <v>43</v>
      </c>
      <c r="H1" s="4" t="s">
        <v>27</v>
      </c>
      <c r="I1" s="4" t="s">
        <v>28</v>
      </c>
      <c r="K1" s="4" t="s">
        <v>15</v>
      </c>
      <c r="L1" s="4" t="s">
        <v>16</v>
      </c>
      <c r="N1" s="4" t="s">
        <v>18</v>
      </c>
      <c r="O1" s="4" t="s">
        <v>17</v>
      </c>
      <c r="P1" s="4" t="s">
        <v>42</v>
      </c>
      <c r="Q1" s="4" t="s">
        <v>19</v>
      </c>
      <c r="R1" s="4" t="s">
        <v>20</v>
      </c>
      <c r="S1" s="4" t="s">
        <v>21</v>
      </c>
      <c r="T1" s="4" t="s">
        <v>41</v>
      </c>
      <c r="U1" s="4" t="s">
        <v>39</v>
      </c>
      <c r="Y1" s="9" t="s">
        <v>14</v>
      </c>
      <c r="Z1" s="9"/>
      <c r="AA1" s="9"/>
      <c r="AB1" s="9"/>
    </row>
    <row r="2" spans="1:28" x14ac:dyDescent="0.3">
      <c r="A2">
        <v>1</v>
      </c>
      <c r="B2" s="1">
        <v>2.3467020839300034E-2</v>
      </c>
      <c r="C2" s="5">
        <f>B2-G2</f>
        <v>2.3467020839300034E-2</v>
      </c>
      <c r="D2" s="2">
        <v>0</v>
      </c>
      <c r="E2" s="2">
        <v>0</v>
      </c>
      <c r="F2" s="2">
        <v>0</v>
      </c>
      <c r="G2" s="2">
        <f>$L$2 + $L$3*D2 + $L$4*E2 + $L$5*F2</f>
        <v>0</v>
      </c>
      <c r="H2" s="2">
        <f>C2</f>
        <v>2.3467020839300034E-2</v>
      </c>
      <c r="I2" s="2">
        <f>C2^2</f>
        <v>5.5070106707214201E-4</v>
      </c>
      <c r="K2" s="2" t="s">
        <v>29</v>
      </c>
      <c r="L2" s="5">
        <v>0</v>
      </c>
      <c r="N2" s="2">
        <v>1</v>
      </c>
      <c r="O2" s="5">
        <f xml:space="preserve"> $L$2
+ $L$3 * B110
+ $L$4 * C110
+ $L$5 * C109</f>
        <v>-3.0498671644937306E-3</v>
      </c>
      <c r="P2" s="7">
        <f>$W$3-Q2</f>
        <v>2.4716108350612809E-6</v>
      </c>
      <c r="Q2" s="7">
        <f>$L$10*(U2^2)</f>
        <v>4.1513143773709847E-4</v>
      </c>
      <c r="R2" s="7">
        <f>O2-_xlfn.NORM.S.INV(1-$L$16/2)*SQRT(Q2)</f>
        <v>-4.2983691464735879E-2</v>
      </c>
      <c r="S2" s="7">
        <f>O2+_xlfn.NORM.S.INV(1-$L$16/2)*SQRT(Q2)</f>
        <v>3.6883957135748421E-2</v>
      </c>
      <c r="T2" s="7">
        <f>1-_xlfn.NORM.DIST(0,O2,SQRT(Q2),TRUE)</f>
        <v>0.44050523485700643</v>
      </c>
      <c r="U2" s="2">
        <v>1</v>
      </c>
      <c r="V2" s="2" t="s">
        <v>2</v>
      </c>
      <c r="W2" s="7">
        <f xml:space="preserve"> $L$2 / (1 - $L$3)</f>
        <v>0</v>
      </c>
      <c r="Z2" s="2" t="s">
        <v>6</v>
      </c>
      <c r="AA2" s="7">
        <f>( $L$10 * SUMPRODUCT( U2:U51, U3:U52 ) ) / $W$3</f>
        <v>7.6781452115103357E-2</v>
      </c>
    </row>
    <row r="3" spans="1:28" x14ac:dyDescent="0.3">
      <c r="A3">
        <f>A2+1</f>
        <v>2</v>
      </c>
      <c r="B3" s="1">
        <v>2.7658835016419023E-3</v>
      </c>
      <c r="C3" s="5">
        <f>B3-G3</f>
        <v>9.553348442152311E-4</v>
      </c>
      <c r="D3" s="2">
        <f>B2</f>
        <v>2.3467020839300034E-2</v>
      </c>
      <c r="E3" s="2">
        <f>C2</f>
        <v>2.3467020839300034E-2</v>
      </c>
      <c r="F3" s="2">
        <f>0</f>
        <v>0</v>
      </c>
      <c r="G3" s="2">
        <f>$L$2 + $L$3*D3 + $L$4*E3 + $L$5*F3</f>
        <v>1.8105486574266712E-3</v>
      </c>
      <c r="H3" s="2">
        <f>C3</f>
        <v>9.553348442152311E-4</v>
      </c>
      <c r="I3" s="2">
        <f>C3^2</f>
        <v>9.1266466457173983E-7</v>
      </c>
      <c r="K3" s="2" t="s">
        <v>30</v>
      </c>
      <c r="L3" s="5">
        <v>1.439350457764282E-2</v>
      </c>
      <c r="N3" s="2">
        <v>2</v>
      </c>
      <c r="O3" s="5">
        <f xml:space="preserve"> $L$2
+ $L$3 * O2
+ $L$5 * C110</f>
        <v>-4.3898276993343043E-5</v>
      </c>
      <c r="P3" s="7">
        <f t="shared" ref="P3:P4" si="0">$W$3-Q3</f>
        <v>5.1205096727405947E-10</v>
      </c>
      <c r="Q3" s="7">
        <f>$L$10*(U2^2 + U3^2)</f>
        <v>4.1760253652119248E-4</v>
      </c>
      <c r="R3" s="7">
        <f t="shared" ref="R3:R4" si="1">O3-_xlfn.NORM.S.INV(1-$L$16/2)*SQRT(Q3)</f>
        <v>-4.0096400664029967E-2</v>
      </c>
      <c r="S3" s="7">
        <f t="shared" ref="S3:S4" si="2">O3+_xlfn.NORM.S.INV(1-$L$16/2)*SQRT(Q3)</f>
        <v>4.0008604110043276E-2</v>
      </c>
      <c r="T3" s="7">
        <f>1-_xlfn.NORM.DIST(0,O3,SQRT(Q3),TRUE)</f>
        <v>0.49914301022081753</v>
      </c>
      <c r="U3" s="2">
        <f>L3*U2 + L4</f>
        <v>7.7152897669676063E-2</v>
      </c>
      <c r="V3" s="2" t="s">
        <v>3</v>
      </c>
      <c r="W3" s="7" cm="1">
        <f t="array" ref="W3" xml:space="preserve"> $L$10 * SUM(U2:U52^2)</f>
        <v>4.1760304857215976E-4</v>
      </c>
      <c r="Z3" s="2" t="s">
        <v>5</v>
      </c>
      <c r="AA3" s="7">
        <f>( $L$10 * SUMPRODUCT( U2:U50, U4:U52 ) ) / $W$3</f>
        <v>1.1051541824968034E-3</v>
      </c>
    </row>
    <row r="4" spans="1:28" x14ac:dyDescent="0.3">
      <c r="A4">
        <f t="shared" ref="A4:A67" si="3">A3+1</f>
        <v>3</v>
      </c>
      <c r="B4" s="1">
        <v>9.8740313462377673E-4</v>
      </c>
      <c r="C4" s="5">
        <f t="shared" ref="C4:C67" si="4">B4-G4</f>
        <v>8.8763614275904723E-4</v>
      </c>
      <c r="D4" s="2">
        <f>B3</f>
        <v>2.7658835016419023E-3</v>
      </c>
      <c r="E4" s="2">
        <f>C3</f>
        <v>9.553348442152311E-4</v>
      </c>
      <c r="F4" s="2">
        <f>C2</f>
        <v>2.3467020839300034E-2</v>
      </c>
      <c r="G4" s="2">
        <f t="shared" ref="G4:G67" si="5">$L$2 + $L$3*D4 + $L$4*E4 + $L$5*F4</f>
        <v>9.9766991864729503E-5</v>
      </c>
      <c r="H4" s="2">
        <f t="shared" ref="H4:H67" si="6">C4</f>
        <v>8.8763614275904723E-4</v>
      </c>
      <c r="I4" s="2">
        <f t="shared" ref="I4:I67" si="7">C4^2</f>
        <v>7.8789792193215964E-7</v>
      </c>
      <c r="K4" s="2" t="s">
        <v>31</v>
      </c>
      <c r="L4" s="5">
        <v>6.2759393092033239E-2</v>
      </c>
      <c r="N4" s="2">
        <v>3</v>
      </c>
      <c r="O4" s="5">
        <f xml:space="preserve"> $L$2 + $L$3 * O3</f>
        <v>-6.3185005085431564E-7</v>
      </c>
      <c r="P4" s="7">
        <f t="shared" si="0"/>
        <v>1.0608305683543207E-13</v>
      </c>
      <c r="Q4" s="7">
        <f>$L$10*(U2^2+U3^2+U4^2)</f>
        <v>4.176030484660767E-4</v>
      </c>
      <c r="R4" s="7">
        <f t="shared" si="1"/>
        <v>-4.0053158787545895E-2</v>
      </c>
      <c r="S4" s="7">
        <f t="shared" si="2"/>
        <v>4.0051895087444181E-2</v>
      </c>
      <c r="T4" s="7">
        <f>1-_xlfn.NORM.DIST(0,O4,SQRT(Q4),TRUE)</f>
        <v>0.49998766491176627</v>
      </c>
      <c r="U4" s="2">
        <f>L3*U3+ L5</f>
        <v>1.1105005857868905E-3</v>
      </c>
      <c r="V4" s="2" t="s">
        <v>4</v>
      </c>
      <c r="W4" s="7">
        <f xml:space="preserve"> 1 - _xlfn.NORM.DIST( 0, W2, SQRT(W3), TRUE )</f>
        <v>0.5</v>
      </c>
      <c r="Z4" s="2" t="s">
        <v>7</v>
      </c>
      <c r="AA4" s="7">
        <f>( $L$10 * SUMPRODUCT( U2:U49, U5:U52 ) ) / $W$3</f>
        <v>1.5907041784768847E-5</v>
      </c>
    </row>
    <row r="5" spans="1:28" x14ac:dyDescent="0.3">
      <c r="A5">
        <f t="shared" si="3"/>
        <v>4</v>
      </c>
      <c r="B5" s="1">
        <v>-1.2120071009030916E-2</v>
      </c>
      <c r="C5" s="5">
        <f t="shared" si="4"/>
        <v>-1.2189990706175213E-2</v>
      </c>
      <c r="D5" s="2">
        <f t="shared" ref="D5:D68" si="8">B4</f>
        <v>9.8740313462377673E-4</v>
      </c>
      <c r="E5" s="2">
        <f t="shared" ref="E5:E68" si="9">C4</f>
        <v>8.8763614275904723E-4</v>
      </c>
      <c r="F5" s="2">
        <f>C3</f>
        <v>9.553348442152311E-4</v>
      </c>
      <c r="G5" s="2">
        <f t="shared" si="5"/>
        <v>6.9919697144297374E-5</v>
      </c>
      <c r="H5" s="2">
        <f t="shared" si="6"/>
        <v>-1.2189990706175213E-2</v>
      </c>
      <c r="I5" s="2">
        <f t="shared" si="7"/>
        <v>1.4859587341663807E-4</v>
      </c>
      <c r="K5" s="2" t="s">
        <v>32</v>
      </c>
      <c r="L5" s="5">
        <v>0</v>
      </c>
      <c r="U5" s="2">
        <f>$L$3 * U4</f>
        <v>1.5983995264998643E-5</v>
      </c>
      <c r="Z5" s="2" t="s">
        <v>8</v>
      </c>
      <c r="AA5" s="7">
        <f>( $L$10 * SUMPRODUCT( U2:U48, U6:U52 ) ) / $W$3</f>
        <v>2.2895807874582598E-7</v>
      </c>
    </row>
    <row r="6" spans="1:28" x14ac:dyDescent="0.3">
      <c r="A6">
        <f t="shared" si="3"/>
        <v>5</v>
      </c>
      <c r="B6" s="1">
        <v>1.1064622061907375E-2</v>
      </c>
      <c r="C6" s="5">
        <f t="shared" si="4"/>
        <v>1.2004108777974299E-2</v>
      </c>
      <c r="D6" s="2">
        <f t="shared" si="8"/>
        <v>-1.2120071009030916E-2</v>
      </c>
      <c r="E6" s="2">
        <f t="shared" si="9"/>
        <v>-1.2189990706175213E-2</v>
      </c>
      <c r="F6" s="2">
        <f t="shared" ref="F6:F69" si="10">C4</f>
        <v>8.8763614275904723E-4</v>
      </c>
      <c r="G6" s="2">
        <f t="shared" si="5"/>
        <v>-9.3948671606692462E-4</v>
      </c>
      <c r="H6" s="2">
        <f t="shared" si="6"/>
        <v>1.2004108777974299E-2</v>
      </c>
      <c r="I6" s="2">
        <f t="shared" si="7"/>
        <v>1.4409862755343961E-4</v>
      </c>
      <c r="U6" s="2">
        <f>$L$3 * U5</f>
        <v>2.3006570901577913E-7</v>
      </c>
      <c r="Z6" s="2" t="s">
        <v>9</v>
      </c>
      <c r="AA6" s="7">
        <f>( $L$10 * SUMPRODUCT( U2:U47, U7:U52 ) ) / $W$3</f>
        <v>3.295509154516352E-9</v>
      </c>
    </row>
    <row r="7" spans="1:28" x14ac:dyDescent="0.3">
      <c r="A7">
        <f t="shared" si="3"/>
        <v>6</v>
      </c>
      <c r="B7" s="1">
        <v>5.8250591284425704E-3</v>
      </c>
      <c r="C7" s="5">
        <f t="shared" si="4"/>
        <v>4.9124298586282027E-3</v>
      </c>
      <c r="D7" s="2">
        <f t="shared" si="8"/>
        <v>1.1064622061907375E-2</v>
      </c>
      <c r="E7" s="2">
        <f t="shared" si="9"/>
        <v>1.2004108777974299E-2</v>
      </c>
      <c r="F7" s="2">
        <f t="shared" si="10"/>
        <v>-1.2189990706175213E-2</v>
      </c>
      <c r="G7" s="2">
        <f t="shared" si="5"/>
        <v>9.1262926981436733E-4</v>
      </c>
      <c r="H7" s="2">
        <f t="shared" si="6"/>
        <v>4.9124298586282027E-3</v>
      </c>
      <c r="I7" s="2">
        <f t="shared" si="7"/>
        <v>2.4131967115941902E-5</v>
      </c>
      <c r="K7" s="2" t="s">
        <v>33</v>
      </c>
      <c r="U7" s="2">
        <f t="shared" ref="U7:U52" si="11">$L$3 * U6</f>
        <v>3.3114518358772579E-9</v>
      </c>
      <c r="Z7" s="2" t="s">
        <v>10</v>
      </c>
      <c r="AA7" s="7">
        <f>( $L$10 * SUMPRODUCT( U2:U46, U8:U52 ) ) / $W$3</f>
        <v>4.7433926101194933E-11</v>
      </c>
    </row>
    <row r="8" spans="1:28" ht="16.2" customHeight="1" x14ac:dyDescent="0.3">
      <c r="A8">
        <f t="shared" si="3"/>
        <v>7</v>
      </c>
      <c r="B8" s="1">
        <v>-3.0842108710786124E-3</v>
      </c>
      <c r="C8" s="5">
        <f t="shared" si="4"/>
        <v>-3.4763550028435795E-3</v>
      </c>
      <c r="D8" s="2">
        <f t="shared" si="8"/>
        <v>5.8250591284425704E-3</v>
      </c>
      <c r="E8" s="2">
        <f t="shared" si="9"/>
        <v>4.9124298586282027E-3</v>
      </c>
      <c r="F8" s="2">
        <f t="shared" si="10"/>
        <v>1.2004108777974299E-2</v>
      </c>
      <c r="G8" s="2">
        <f t="shared" si="5"/>
        <v>3.9214413176496692E-4</v>
      </c>
      <c r="H8" s="2">
        <f t="shared" si="6"/>
        <v>-3.4763550028435795E-3</v>
      </c>
      <c r="I8" s="2">
        <f t="shared" si="7"/>
        <v>1.2085044105795583E-5</v>
      </c>
      <c r="K8" s="10" t="s">
        <v>45</v>
      </c>
      <c r="L8" s="12">
        <f>109/2*LN(2*PI()*L10)+L9/(2*L10)</f>
        <v>-269.32256830955544</v>
      </c>
      <c r="U8" s="2">
        <f t="shared" si="11"/>
        <v>4.7663397158343032E-11</v>
      </c>
      <c r="Z8" s="2" t="s">
        <v>11</v>
      </c>
      <c r="AA8" s="7">
        <f>( $L$10 * SUMPRODUCT( U2:U45, U9:U52 ) ) / $W$3</f>
        <v>6.8274043247312055E-13</v>
      </c>
    </row>
    <row r="9" spans="1:28" x14ac:dyDescent="0.3">
      <c r="A9">
        <f t="shared" si="3"/>
        <v>8</v>
      </c>
      <c r="B9" s="1">
        <v>-3.6258654292433056E-3</v>
      </c>
      <c r="C9" s="5">
        <f t="shared" si="4"/>
        <v>-3.3632988958011032E-3</v>
      </c>
      <c r="D9" s="2">
        <f t="shared" si="8"/>
        <v>-3.0842108710786124E-3</v>
      </c>
      <c r="E9" s="2">
        <f t="shared" si="9"/>
        <v>-3.4763550028435795E-3</v>
      </c>
      <c r="F9" s="2">
        <f t="shared" si="10"/>
        <v>4.9124298586282027E-3</v>
      </c>
      <c r="G9" s="2">
        <f t="shared" si="5"/>
        <v>-2.625665334422023E-4</v>
      </c>
      <c r="H9" s="2">
        <f t="shared" si="6"/>
        <v>-3.3632988958011032E-3</v>
      </c>
      <c r="I9" s="2">
        <f t="shared" si="7"/>
        <v>1.131177946249692E-5</v>
      </c>
      <c r="K9" s="2" t="s">
        <v>34</v>
      </c>
      <c r="L9" s="2">
        <f>SUM(I2:I110)</f>
        <v>4.5581447854454282E-2</v>
      </c>
      <c r="O9" s="2" t="s">
        <v>23</v>
      </c>
      <c r="U9" s="2">
        <f t="shared" si="11"/>
        <v>6.8604332518461827E-13</v>
      </c>
      <c r="Z9" s="2" t="s">
        <v>40</v>
      </c>
      <c r="AA9" s="7">
        <f>( $L$10 * SUMPRODUCT( U2:U44, U10:U52 ) ) / $W$3</f>
        <v>9.8270275401437E-15</v>
      </c>
    </row>
    <row r="10" spans="1:28" x14ac:dyDescent="0.3">
      <c r="A10">
        <f t="shared" si="3"/>
        <v>9</v>
      </c>
      <c r="B10" s="1">
        <v>1.6620811935693987E-2</v>
      </c>
      <c r="C10" s="5">
        <f t="shared" si="4"/>
        <v>1.6884079443835302E-2</v>
      </c>
      <c r="D10" s="2">
        <f t="shared" si="8"/>
        <v>-3.6258654292433056E-3</v>
      </c>
      <c r="E10" s="2">
        <f t="shared" si="9"/>
        <v>-3.3632988958011032E-3</v>
      </c>
      <c r="F10" s="2">
        <f t="shared" si="10"/>
        <v>-3.4763550028435795E-3</v>
      </c>
      <c r="G10" s="2">
        <f t="shared" si="5"/>
        <v>-2.6326750814131318E-4</v>
      </c>
      <c r="H10" s="2">
        <f t="shared" si="6"/>
        <v>1.6884079443835302E-2</v>
      </c>
      <c r="I10" s="2">
        <f t="shared" si="7"/>
        <v>2.850721386657418E-4</v>
      </c>
      <c r="K10" s="2" t="s">
        <v>35</v>
      </c>
      <c r="L10" s="5">
        <v>4.1513143773709847E-4</v>
      </c>
      <c r="U10" s="2">
        <f t="shared" si="11"/>
        <v>9.8745677415061053E-15</v>
      </c>
      <c r="Z10" s="2" t="s">
        <v>12</v>
      </c>
      <c r="AA10" s="7">
        <f>( $L$10 * SUMPRODUCT( U2:U43, U11:U52 ) ) / $W$3</f>
        <v>1.4144536588368039E-16</v>
      </c>
    </row>
    <row r="11" spans="1:28" x14ac:dyDescent="0.3">
      <c r="A11">
        <f t="shared" si="3"/>
        <v>10</v>
      </c>
      <c r="B11" s="1">
        <v>-8.4660123164632325E-3</v>
      </c>
      <c r="C11" s="5">
        <f t="shared" si="4"/>
        <v>-9.7648786279565629E-3</v>
      </c>
      <c r="D11" s="2">
        <f t="shared" si="8"/>
        <v>1.6620811935693987E-2</v>
      </c>
      <c r="E11" s="2">
        <f t="shared" si="9"/>
        <v>1.6884079443835302E-2</v>
      </c>
      <c r="F11" s="2">
        <f t="shared" si="10"/>
        <v>-3.3632988958011032E-3</v>
      </c>
      <c r="G11" s="2">
        <f t="shared" si="5"/>
        <v>1.2988663114933295E-3</v>
      </c>
      <c r="H11" s="2">
        <f t="shared" si="6"/>
        <v>-9.7648786279565629E-3</v>
      </c>
      <c r="I11" s="2">
        <f t="shared" si="7"/>
        <v>9.535285461872284E-5</v>
      </c>
      <c r="K11" s="2" t="s">
        <v>36</v>
      </c>
      <c r="L11" s="2">
        <f>2*5 + 2*L8</f>
        <v>-528.64513661911087</v>
      </c>
      <c r="U11" s="2">
        <f t="shared" si="11"/>
        <v>1.4212963598961225E-16</v>
      </c>
      <c r="Z11" s="2" t="s">
        <v>13</v>
      </c>
      <c r="AA11" s="7">
        <f>( $L$10 * SUMPRODUCT( U2:U42, U12:U52 ) ) / $W$3</f>
        <v>2.035894521333117E-18</v>
      </c>
    </row>
    <row r="12" spans="1:28" x14ac:dyDescent="0.3">
      <c r="A12">
        <f t="shared" si="3"/>
        <v>11</v>
      </c>
      <c r="B12" s="1">
        <v>-4.2097829787132012E-3</v>
      </c>
      <c r="C12" s="5">
        <f t="shared" si="4"/>
        <v>-3.4750895353738869E-3</v>
      </c>
      <c r="D12" s="2">
        <f t="shared" si="8"/>
        <v>-8.4660123164632325E-3</v>
      </c>
      <c r="E12" s="2">
        <f t="shared" si="9"/>
        <v>-9.7648786279565629E-3</v>
      </c>
      <c r="F12" s="2">
        <f t="shared" si="10"/>
        <v>1.6884079443835302E-2</v>
      </c>
      <c r="G12" s="2">
        <f t="shared" si="5"/>
        <v>-7.3469344333931417E-4</v>
      </c>
      <c r="H12" s="2">
        <f t="shared" si="6"/>
        <v>-3.4750895353738869E-3</v>
      </c>
      <c r="I12" s="2">
        <f t="shared" si="7"/>
        <v>1.2076247278865098E-5</v>
      </c>
      <c r="K12" s="2" t="s">
        <v>37</v>
      </c>
      <c r="L12" s="2">
        <f>5 * LN( MAX(A2:A110) ) + 2*L8</f>
        <v>-515.18839720796518</v>
      </c>
      <c r="U12" s="2">
        <f t="shared" si="11"/>
        <v>2.0457435662351915E-18</v>
      </c>
    </row>
    <row r="13" spans="1:28" x14ac:dyDescent="0.3">
      <c r="A13">
        <f t="shared" si="3"/>
        <v>12</v>
      </c>
      <c r="B13" s="1">
        <v>-3.3977768463113798E-3</v>
      </c>
      <c r="C13" s="5">
        <f t="shared" si="4"/>
        <v>-3.1190888055558476E-3</v>
      </c>
      <c r="D13" s="2">
        <f t="shared" si="8"/>
        <v>-4.2097829787132012E-3</v>
      </c>
      <c r="E13" s="2">
        <f t="shared" si="9"/>
        <v>-3.4750895353738869E-3</v>
      </c>
      <c r="F13" s="2">
        <f t="shared" si="10"/>
        <v>-9.7648786279565629E-3</v>
      </c>
      <c r="G13" s="2">
        <f t="shared" si="5"/>
        <v>-2.7868804075553222E-4</v>
      </c>
      <c r="H13" s="2">
        <f t="shared" si="6"/>
        <v>-3.1190888055558476E-3</v>
      </c>
      <c r="I13" s="2">
        <f t="shared" si="7"/>
        <v>9.7287149769438037E-6</v>
      </c>
      <c r="K13" s="2" t="s">
        <v>38</v>
      </c>
      <c r="L13" s="11">
        <f>ROW(A110)</f>
        <v>110</v>
      </c>
      <c r="U13" s="2">
        <f t="shared" si="11"/>
        <v>2.9445419385289579E-20</v>
      </c>
    </row>
    <row r="14" spans="1:28" x14ac:dyDescent="0.3">
      <c r="A14">
        <f t="shared" si="3"/>
        <v>13</v>
      </c>
      <c r="B14" s="1">
        <v>-2.7137018740679326E-2</v>
      </c>
      <c r="C14" s="5">
        <f t="shared" si="4"/>
        <v>-2.6892360703651294E-2</v>
      </c>
      <c r="D14" s="2">
        <f t="shared" si="8"/>
        <v>-3.3977768463113798E-3</v>
      </c>
      <c r="E14" s="2">
        <f t="shared" si="9"/>
        <v>-3.1190888055558476E-3</v>
      </c>
      <c r="F14" s="2">
        <f t="shared" si="10"/>
        <v>-3.4750895353738869E-3</v>
      </c>
      <c r="G14" s="2">
        <f t="shared" si="5"/>
        <v>-2.4465803702803149E-4</v>
      </c>
      <c r="H14" s="2">
        <f t="shared" si="6"/>
        <v>-2.6892360703651294E-2</v>
      </c>
      <c r="I14" s="2">
        <f t="shared" si="7"/>
        <v>7.2319906421528836E-4</v>
      </c>
      <c r="U14" s="2">
        <f t="shared" si="11"/>
        <v>4.2382277871277814E-22</v>
      </c>
    </row>
    <row r="15" spans="1:28" x14ac:dyDescent="0.3">
      <c r="A15">
        <f t="shared" si="3"/>
        <v>14</v>
      </c>
      <c r="B15" s="1">
        <v>-4.1585945777909708E-2</v>
      </c>
      <c r="C15" s="5">
        <f t="shared" si="4"/>
        <v>-3.9507600737868964E-2</v>
      </c>
      <c r="D15" s="2">
        <f t="shared" si="8"/>
        <v>-2.7137018740679326E-2</v>
      </c>
      <c r="E15" s="2">
        <f t="shared" si="9"/>
        <v>-2.6892360703651294E-2</v>
      </c>
      <c r="F15" s="2">
        <f t="shared" si="10"/>
        <v>-3.1190888055558476E-3</v>
      </c>
      <c r="G15" s="2">
        <f t="shared" si="5"/>
        <v>-2.078345040040746E-3</v>
      </c>
      <c r="H15" s="2">
        <f t="shared" si="6"/>
        <v>-3.9507600737868964E-2</v>
      </c>
      <c r="I15" s="2">
        <f t="shared" si="7"/>
        <v>1.5608505160628642E-3</v>
      </c>
      <c r="U15" s="2">
        <f t="shared" si="11"/>
        <v>6.1002951055116726E-24</v>
      </c>
    </row>
    <row r="16" spans="1:28" x14ac:dyDescent="0.3">
      <c r="A16">
        <f t="shared" si="3"/>
        <v>15</v>
      </c>
      <c r="B16" s="1">
        <v>1.0674632906882054E-2</v>
      </c>
      <c r="C16" s="5">
        <f t="shared" si="4"/>
        <v>1.3752673452633025E-2</v>
      </c>
      <c r="D16" s="2">
        <f t="shared" si="8"/>
        <v>-4.1585945777909708E-2</v>
      </c>
      <c r="E16" s="2">
        <f t="shared" si="9"/>
        <v>-3.9507600737868964E-2</v>
      </c>
      <c r="F16" s="2">
        <f t="shared" si="10"/>
        <v>-2.6892360703651294E-2</v>
      </c>
      <c r="G16" s="2">
        <f t="shared" si="5"/>
        <v>-3.0780405457509702E-3</v>
      </c>
      <c r="H16" s="2">
        <f t="shared" si="6"/>
        <v>1.3752673452633025E-2</v>
      </c>
      <c r="I16" s="2">
        <f t="shared" si="7"/>
        <v>1.8913602709475717E-4</v>
      </c>
      <c r="K16" s="2" t="s">
        <v>22</v>
      </c>
      <c r="L16" s="8">
        <v>0.05</v>
      </c>
      <c r="U16" s="2">
        <f t="shared" si="11"/>
        <v>8.7804625526154347E-26</v>
      </c>
    </row>
    <row r="17" spans="1:21" x14ac:dyDescent="0.3">
      <c r="A17">
        <f t="shared" si="3"/>
        <v>16</v>
      </c>
      <c r="B17" s="1">
        <v>2.1523429863242086E-2</v>
      </c>
      <c r="C17" s="5">
        <f t="shared" si="4"/>
        <v>2.0506675046352056E-2</v>
      </c>
      <c r="D17" s="2">
        <f t="shared" si="8"/>
        <v>1.0674632906882054E-2</v>
      </c>
      <c r="E17" s="2">
        <f t="shared" si="9"/>
        <v>1.3752673452633025E-2</v>
      </c>
      <c r="F17" s="2">
        <f t="shared" si="10"/>
        <v>-3.9507600737868964E-2</v>
      </c>
      <c r="G17" s="2">
        <f t="shared" si="5"/>
        <v>1.0167548168900295E-3</v>
      </c>
      <c r="H17" s="2">
        <f t="shared" si="6"/>
        <v>2.0506675046352056E-2</v>
      </c>
      <c r="I17" s="2">
        <f t="shared" si="7"/>
        <v>4.205237214566781E-4</v>
      </c>
      <c r="U17" s="2">
        <f t="shared" si="11"/>
        <v>1.2638162794489163E-27</v>
      </c>
    </row>
    <row r="18" spans="1:21" x14ac:dyDescent="0.3">
      <c r="A18">
        <f t="shared" si="3"/>
        <v>17</v>
      </c>
      <c r="B18" s="1">
        <v>1.0710756087116559E-2</v>
      </c>
      <c r="C18" s="5">
        <f t="shared" si="4"/>
        <v>9.1139720206088112E-3</v>
      </c>
      <c r="D18" s="2">
        <f t="shared" si="8"/>
        <v>2.1523429863242086E-2</v>
      </c>
      <c r="E18" s="2">
        <f t="shared" si="9"/>
        <v>2.0506675046352056E-2</v>
      </c>
      <c r="F18" s="2">
        <f t="shared" si="10"/>
        <v>1.3752673452633025E-2</v>
      </c>
      <c r="G18" s="2">
        <f t="shared" si="5"/>
        <v>1.5967840665077468E-3</v>
      </c>
      <c r="H18" s="2">
        <f t="shared" si="6"/>
        <v>9.1139720206088112E-3</v>
      </c>
      <c r="I18" s="2">
        <f t="shared" si="7"/>
        <v>8.3064485992440264E-5</v>
      </c>
      <c r="U18" s="2">
        <f t="shared" si="11"/>
        <v>1.8190745403547495E-29</v>
      </c>
    </row>
    <row r="19" spans="1:21" x14ac:dyDescent="0.3">
      <c r="A19">
        <f t="shared" si="3"/>
        <v>18</v>
      </c>
      <c r="B19" s="1">
        <v>-7.2258908258326805E-3</v>
      </c>
      <c r="C19" s="5">
        <f t="shared" si="4"/>
        <v>-7.9520434952737896E-3</v>
      </c>
      <c r="D19" s="2">
        <f t="shared" si="8"/>
        <v>1.0710756087116559E-2</v>
      </c>
      <c r="E19" s="2">
        <f t="shared" si="9"/>
        <v>9.1139720206088112E-3</v>
      </c>
      <c r="F19" s="2">
        <f t="shared" si="10"/>
        <v>2.0506675046352056E-2</v>
      </c>
      <c r="G19" s="2">
        <f t="shared" si="5"/>
        <v>7.2615266944110876E-4</v>
      </c>
      <c r="H19" s="2">
        <f t="shared" si="6"/>
        <v>-7.9520434952737896E-3</v>
      </c>
      <c r="I19" s="2">
        <f t="shared" si="7"/>
        <v>6.3234995750726189E-5</v>
      </c>
      <c r="U19" s="2">
        <f t="shared" si="11"/>
        <v>2.6182857723669599E-31</v>
      </c>
    </row>
    <row r="20" spans="1:21" x14ac:dyDescent="0.3">
      <c r="A20">
        <f t="shared" si="3"/>
        <v>19</v>
      </c>
      <c r="B20" s="1">
        <v>1.4321874811512232E-3</v>
      </c>
      <c r="C20" s="5">
        <f t="shared" si="4"/>
        <v>2.0352587974352271E-3</v>
      </c>
      <c r="D20" s="2">
        <f t="shared" si="8"/>
        <v>-7.2258908258326805E-3</v>
      </c>
      <c r="E20" s="2">
        <f t="shared" si="9"/>
        <v>-7.9520434952737896E-3</v>
      </c>
      <c r="F20" s="2">
        <f t="shared" si="10"/>
        <v>9.1139720206088112E-3</v>
      </c>
      <c r="G20" s="2">
        <f t="shared" si="5"/>
        <v>-6.0307131628400371E-4</v>
      </c>
      <c r="H20" s="2">
        <f t="shared" si="6"/>
        <v>2.0352587974352271E-3</v>
      </c>
      <c r="I20" s="2">
        <f t="shared" si="7"/>
        <v>4.1422783725374865E-6</v>
      </c>
      <c r="U20" s="2">
        <f t="shared" si="11"/>
        <v>3.7686308250140907E-33</v>
      </c>
    </row>
    <row r="21" spans="1:21" x14ac:dyDescent="0.3">
      <c r="A21">
        <f t="shared" si="3"/>
        <v>20</v>
      </c>
      <c r="B21" s="1">
        <v>1.5597097685532201E-2</v>
      </c>
      <c r="C21" s="5">
        <f t="shared" si="4"/>
        <v>1.5448751881553952E-2</v>
      </c>
      <c r="D21" s="2">
        <f t="shared" si="8"/>
        <v>1.4321874811512232E-3</v>
      </c>
      <c r="E21" s="2">
        <f t="shared" si="9"/>
        <v>2.0352587974352271E-3</v>
      </c>
      <c r="F21" s="2">
        <f t="shared" si="10"/>
        <v>-7.9520434952737896E-3</v>
      </c>
      <c r="G21" s="2">
        <f t="shared" si="5"/>
        <v>1.4834580397824916E-4</v>
      </c>
      <c r="H21" s="2">
        <f t="shared" si="6"/>
        <v>1.5448751881553952E-2</v>
      </c>
      <c r="I21" s="2">
        <f t="shared" si="7"/>
        <v>2.3866393469781675E-4</v>
      </c>
      <c r="U21" s="2">
        <f t="shared" si="11"/>
        <v>5.4243805031286154E-35</v>
      </c>
    </row>
    <row r="22" spans="1:21" x14ac:dyDescent="0.3">
      <c r="A22">
        <f t="shared" si="3"/>
        <v>21</v>
      </c>
      <c r="B22" s="1">
        <v>9.248900900998662E-3</v>
      </c>
      <c r="C22" s="5">
        <f t="shared" si="4"/>
        <v>8.0548497119482792E-3</v>
      </c>
      <c r="D22" s="2">
        <f t="shared" si="8"/>
        <v>1.5597097685532201E-2</v>
      </c>
      <c r="E22" s="2">
        <f t="shared" si="9"/>
        <v>1.5448751881553952E-2</v>
      </c>
      <c r="F22" s="2">
        <f t="shared" si="10"/>
        <v>2.0352587974352271E-3</v>
      </c>
      <c r="G22" s="2">
        <f t="shared" si="5"/>
        <v>1.1940511890503826E-3</v>
      </c>
      <c r="H22" s="2">
        <f t="shared" si="6"/>
        <v>8.0548497119482792E-3</v>
      </c>
      <c r="I22" s="2">
        <f t="shared" si="7"/>
        <v>6.4880603882073282E-5</v>
      </c>
      <c r="U22" s="2">
        <f t="shared" si="11"/>
        <v>7.8075845602658184E-37</v>
      </c>
    </row>
    <row r="23" spans="1:21" x14ac:dyDescent="0.3">
      <c r="A23">
        <f t="shared" si="3"/>
        <v>22</v>
      </c>
      <c r="B23" s="1">
        <v>-5.8142510718731024E-3</v>
      </c>
      <c r="C23" s="5">
        <f t="shared" si="4"/>
        <v>-6.4528926486992046E-3</v>
      </c>
      <c r="D23" s="2">
        <f t="shared" si="8"/>
        <v>9.248900900998662E-3</v>
      </c>
      <c r="E23" s="2">
        <f t="shared" si="9"/>
        <v>8.0548497119482792E-3</v>
      </c>
      <c r="F23" s="2">
        <f t="shared" si="10"/>
        <v>1.5448751881553952E-2</v>
      </c>
      <c r="G23" s="2">
        <f t="shared" si="5"/>
        <v>6.3864157682610187E-4</v>
      </c>
      <c r="H23" s="2">
        <f t="shared" si="6"/>
        <v>-6.4528926486992046E-3</v>
      </c>
      <c r="I23" s="2">
        <f t="shared" si="7"/>
        <v>4.1639823535636236E-5</v>
      </c>
      <c r="U23" s="2">
        <f t="shared" si="11"/>
        <v>1.1237850410851946E-38</v>
      </c>
    </row>
    <row r="24" spans="1:21" x14ac:dyDescent="0.3">
      <c r="A24">
        <f t="shared" si="3"/>
        <v>23</v>
      </c>
      <c r="B24" s="1">
        <v>-5.9663909124351719E-3</v>
      </c>
      <c r="C24" s="5">
        <f t="shared" si="4"/>
        <v>-5.477723836696197E-3</v>
      </c>
      <c r="D24" s="2">
        <f t="shared" si="8"/>
        <v>-5.8142510718731024E-3</v>
      </c>
      <c r="E24" s="2">
        <f t="shared" si="9"/>
        <v>-6.4528926486992046E-3</v>
      </c>
      <c r="F24" s="2">
        <f t="shared" si="10"/>
        <v>8.0548497119482792E-3</v>
      </c>
      <c r="G24" s="2">
        <f t="shared" si="5"/>
        <v>-4.8866707573897513E-4</v>
      </c>
      <c r="H24" s="2">
        <f t="shared" si="6"/>
        <v>-5.477723836696197E-3</v>
      </c>
      <c r="I24" s="2">
        <f t="shared" si="7"/>
        <v>3.0005458431109705E-5</v>
      </c>
      <c r="U24" s="2">
        <f t="shared" si="11"/>
        <v>1.6175205133146273E-40</v>
      </c>
    </row>
    <row r="25" spans="1:21" x14ac:dyDescent="0.3">
      <c r="A25">
        <f t="shared" si="3"/>
        <v>24</v>
      </c>
      <c r="B25" s="1">
        <v>6.1680622322661145E-3</v>
      </c>
      <c r="C25" s="5">
        <f t="shared" si="4"/>
        <v>6.5977181306930734E-3</v>
      </c>
      <c r="D25" s="2">
        <f t="shared" si="8"/>
        <v>-5.9663909124351719E-3</v>
      </c>
      <c r="E25" s="2">
        <f t="shared" si="9"/>
        <v>-5.477723836696197E-3</v>
      </c>
      <c r="F25" s="2">
        <f t="shared" si="10"/>
        <v>-6.4528926486992046E-3</v>
      </c>
      <c r="G25" s="2">
        <f t="shared" si="5"/>
        <v>-4.2965589842695927E-4</v>
      </c>
      <c r="H25" s="2">
        <f t="shared" si="6"/>
        <v>6.5977181306930734E-3</v>
      </c>
      <c r="I25" s="2">
        <f t="shared" si="7"/>
        <v>4.35298845320761E-5</v>
      </c>
      <c r="U25" s="2">
        <f t="shared" si="11"/>
        <v>2.3281788912825253E-42</v>
      </c>
    </row>
    <row r="26" spans="1:21" x14ac:dyDescent="0.3">
      <c r="A26">
        <f t="shared" si="3"/>
        <v>25</v>
      </c>
      <c r="B26" s="1">
        <v>8.9675988252789357E-3</v>
      </c>
      <c r="C26" s="5">
        <f t="shared" si="4"/>
        <v>8.4647500076290259E-3</v>
      </c>
      <c r="D26" s="2">
        <f t="shared" si="8"/>
        <v>6.1680622322661145E-3</v>
      </c>
      <c r="E26" s="2">
        <f t="shared" si="9"/>
        <v>6.5977181306930734E-3</v>
      </c>
      <c r="F26" s="2">
        <f t="shared" si="10"/>
        <v>-5.477723836696197E-3</v>
      </c>
      <c r="G26" s="2">
        <f t="shared" si="5"/>
        <v>5.0284881764990944E-4</v>
      </c>
      <c r="H26" s="2">
        <f t="shared" si="6"/>
        <v>8.4647500076290259E-3</v>
      </c>
      <c r="I26" s="2">
        <f t="shared" si="7"/>
        <v>7.1651992691655598E-5</v>
      </c>
      <c r="U26" s="2">
        <f t="shared" si="11"/>
        <v>3.3510653529246415E-44</v>
      </c>
    </row>
    <row r="27" spans="1:21" x14ac:dyDescent="0.3">
      <c r="A27">
        <f t="shared" si="3"/>
        <v>26</v>
      </c>
      <c r="B27" s="1">
        <v>2.6127065693383498E-2</v>
      </c>
      <c r="C27" s="5">
        <f t="shared" si="4"/>
        <v>2.5466747945486798E-2</v>
      </c>
      <c r="D27" s="2">
        <f t="shared" si="8"/>
        <v>8.9675988252789357E-3</v>
      </c>
      <c r="E27" s="2">
        <f t="shared" si="9"/>
        <v>8.4647500076290259E-3</v>
      </c>
      <c r="F27" s="2">
        <f t="shared" si="10"/>
        <v>6.5977181306930734E-3</v>
      </c>
      <c r="G27" s="2">
        <f t="shared" si="5"/>
        <v>6.6031774789669824E-4</v>
      </c>
      <c r="H27" s="2">
        <f t="shared" si="6"/>
        <v>2.5466747945486798E-2</v>
      </c>
      <c r="I27" s="2">
        <f t="shared" si="7"/>
        <v>6.4855525091895606E-4</v>
      </c>
      <c r="U27" s="2">
        <f t="shared" si="11"/>
        <v>4.8233574497301083E-46</v>
      </c>
    </row>
    <row r="28" spans="1:21" x14ac:dyDescent="0.3">
      <c r="A28">
        <f t="shared" si="3"/>
        <v>27</v>
      </c>
      <c r="B28" s="1">
        <v>-1.097311942702627E-3</v>
      </c>
      <c r="C28" s="5">
        <f t="shared" si="4"/>
        <v>-3.0716496274472531E-3</v>
      </c>
      <c r="D28" s="2">
        <f t="shared" si="8"/>
        <v>2.6127065693383498E-2</v>
      </c>
      <c r="E28" s="2">
        <f t="shared" si="9"/>
        <v>2.5466747945486798E-2</v>
      </c>
      <c r="F28" s="2">
        <f t="shared" si="10"/>
        <v>8.4647500076290259E-3</v>
      </c>
      <c r="G28" s="2">
        <f t="shared" si="5"/>
        <v>1.9743376847446261E-3</v>
      </c>
      <c r="H28" s="2">
        <f t="shared" si="6"/>
        <v>-3.0716496274472531E-3</v>
      </c>
      <c r="I28" s="2">
        <f t="shared" si="7"/>
        <v>9.4350314337968482E-6</v>
      </c>
      <c r="U28" s="2">
        <f t="shared" si="11"/>
        <v>6.942501753229791E-48</v>
      </c>
    </row>
    <row r="29" spans="1:21" x14ac:dyDescent="0.3">
      <c r="A29">
        <f t="shared" si="3"/>
        <v>28</v>
      </c>
      <c r="B29" s="1">
        <v>-8.9216827145899638E-3</v>
      </c>
      <c r="C29" s="5">
        <f t="shared" si="4"/>
        <v>-8.7131136837096113E-3</v>
      </c>
      <c r="D29" s="2">
        <f t="shared" si="8"/>
        <v>-1.097311942702627E-3</v>
      </c>
      <c r="E29" s="2">
        <f t="shared" si="9"/>
        <v>-3.0716496274472531E-3</v>
      </c>
      <c r="F29" s="2">
        <f t="shared" si="10"/>
        <v>2.5466747945486798E-2</v>
      </c>
      <c r="G29" s="2">
        <f t="shared" si="5"/>
        <v>-2.0856903088035202E-4</v>
      </c>
      <c r="H29" s="2">
        <f t="shared" si="6"/>
        <v>-8.7131136837096113E-3</v>
      </c>
      <c r="I29" s="2">
        <f t="shared" si="7"/>
        <v>7.5918350065247678E-5</v>
      </c>
      <c r="U29" s="2">
        <f t="shared" si="11"/>
        <v>9.9926930765406293E-50</v>
      </c>
    </row>
    <row r="30" spans="1:21" x14ac:dyDescent="0.3">
      <c r="A30">
        <f t="shared" si="3"/>
        <v>29</v>
      </c>
      <c r="B30" s="1">
        <v>-3.2091642687304904E-2</v>
      </c>
      <c r="C30" s="5">
        <f t="shared" si="4"/>
        <v>-3.1416398679580675E-2</v>
      </c>
      <c r="D30" s="2">
        <f t="shared" si="8"/>
        <v>-8.9216827145899638E-3</v>
      </c>
      <c r="E30" s="2">
        <f t="shared" si="9"/>
        <v>-8.7131136837096113E-3</v>
      </c>
      <c r="F30" s="2">
        <f t="shared" si="10"/>
        <v>-3.0716496274472531E-3</v>
      </c>
      <c r="G30" s="2">
        <f t="shared" si="5"/>
        <v>-6.7524400772423269E-4</v>
      </c>
      <c r="H30" s="2">
        <f t="shared" si="6"/>
        <v>-3.1416398679580675E-2</v>
      </c>
      <c r="I30" s="2">
        <f t="shared" si="7"/>
        <v>9.8699010599435835E-4</v>
      </c>
      <c r="U30" s="2">
        <f t="shared" si="11"/>
        <v>1.4382987354016726E-51</v>
      </c>
    </row>
    <row r="31" spans="1:21" x14ac:dyDescent="0.3">
      <c r="A31">
        <f t="shared" si="3"/>
        <v>30</v>
      </c>
      <c r="B31" s="1">
        <v>1.2341688294547931E-2</v>
      </c>
      <c r="C31" s="5">
        <f t="shared" si="4"/>
        <v>1.477527361473957E-2</v>
      </c>
      <c r="D31" s="2">
        <f t="shared" si="8"/>
        <v>-3.2091642687304904E-2</v>
      </c>
      <c r="E31" s="2">
        <f t="shared" si="9"/>
        <v>-3.1416398679580675E-2</v>
      </c>
      <c r="F31" s="2">
        <f t="shared" si="10"/>
        <v>-8.7131136837096113E-3</v>
      </c>
      <c r="G31" s="2">
        <f t="shared" si="5"/>
        <v>-2.4335853201916382E-3</v>
      </c>
      <c r="H31" s="2">
        <f t="shared" si="6"/>
        <v>1.477527361473957E-2</v>
      </c>
      <c r="I31" s="2">
        <f t="shared" si="7"/>
        <v>2.1830871039041933E-4</v>
      </c>
      <c r="U31" s="2">
        <f t="shared" si="11"/>
        <v>2.0702159432021856E-53</v>
      </c>
    </row>
    <row r="32" spans="1:21" x14ac:dyDescent="0.3">
      <c r="A32">
        <f t="shared" si="3"/>
        <v>31</v>
      </c>
      <c r="B32" s="1">
        <v>2.4268625138694146E-3</v>
      </c>
      <c r="C32" s="5">
        <f t="shared" si="4"/>
        <v>1.3219351620762105E-3</v>
      </c>
      <c r="D32" s="2">
        <f t="shared" si="8"/>
        <v>1.2341688294547931E-2</v>
      </c>
      <c r="E32" s="2">
        <f t="shared" si="9"/>
        <v>1.477527361473957E-2</v>
      </c>
      <c r="F32" s="2">
        <f t="shared" si="10"/>
        <v>-3.1416398679580675E-2</v>
      </c>
      <c r="G32" s="2">
        <f t="shared" si="5"/>
        <v>1.1049273517932041E-3</v>
      </c>
      <c r="H32" s="2">
        <f t="shared" si="6"/>
        <v>1.3219351620762105E-3</v>
      </c>
      <c r="I32" s="2">
        <f t="shared" si="7"/>
        <v>1.7475125727334569E-6</v>
      </c>
      <c r="U32" s="2">
        <f t="shared" si="11"/>
        <v>2.9797662655189809E-55</v>
      </c>
    </row>
    <row r="33" spans="1:21" x14ac:dyDescent="0.3">
      <c r="A33">
        <f t="shared" si="3"/>
        <v>32</v>
      </c>
      <c r="B33" s="1">
        <v>-1.6232244903057216E-2</v>
      </c>
      <c r="C33" s="5">
        <f t="shared" si="4"/>
        <v>-1.6350139808238826E-2</v>
      </c>
      <c r="D33" s="2">
        <f t="shared" si="8"/>
        <v>2.4268625138694146E-3</v>
      </c>
      <c r="E33" s="2">
        <f t="shared" si="9"/>
        <v>1.3219351620762105E-3</v>
      </c>
      <c r="F33" s="2">
        <f t="shared" si="10"/>
        <v>1.477527361473957E-2</v>
      </c>
      <c r="G33" s="2">
        <f t="shared" si="5"/>
        <v>1.1789490518161074E-4</v>
      </c>
      <c r="H33" s="2">
        <f t="shared" si="6"/>
        <v>-1.6350139808238826E-2</v>
      </c>
      <c r="I33" s="2">
        <f t="shared" si="7"/>
        <v>2.6732707174895594E-4</v>
      </c>
      <c r="U33" s="2">
        <f t="shared" si="11"/>
        <v>4.2889279383053103E-57</v>
      </c>
    </row>
    <row r="34" spans="1:21" x14ac:dyDescent="0.3">
      <c r="A34">
        <f t="shared" si="3"/>
        <v>33</v>
      </c>
      <c r="B34" s="1">
        <v>-1.7785911173982889E-2</v>
      </c>
      <c r="C34" s="5">
        <f t="shared" si="4"/>
        <v>-1.6526147431330355E-2</v>
      </c>
      <c r="D34" s="2">
        <f t="shared" si="8"/>
        <v>-1.6232244903057216E-2</v>
      </c>
      <c r="E34" s="2">
        <f t="shared" si="9"/>
        <v>-1.6350139808238826E-2</v>
      </c>
      <c r="F34" s="2">
        <f t="shared" si="10"/>
        <v>1.3219351620762105E-3</v>
      </c>
      <c r="G34" s="2">
        <f t="shared" si="5"/>
        <v>-1.2597637426525349E-3</v>
      </c>
      <c r="H34" s="2">
        <f t="shared" si="6"/>
        <v>-1.6526147431330355E-2</v>
      </c>
      <c r="I34" s="2">
        <f t="shared" si="7"/>
        <v>2.7311354892206688E-4</v>
      </c>
      <c r="U34" s="2">
        <f t="shared" si="11"/>
        <v>6.173270391317767E-59</v>
      </c>
    </row>
    <row r="35" spans="1:21" x14ac:dyDescent="0.3">
      <c r="A35">
        <f t="shared" si="3"/>
        <v>34</v>
      </c>
      <c r="B35" s="1">
        <v>-2.2595549319261828E-2</v>
      </c>
      <c r="C35" s="5">
        <f t="shared" si="4"/>
        <v>-2.1302376742421799E-2</v>
      </c>
      <c r="D35" s="2">
        <f t="shared" si="8"/>
        <v>-1.7785911173982889E-2</v>
      </c>
      <c r="E35" s="2">
        <f t="shared" si="9"/>
        <v>-1.6526147431330355E-2</v>
      </c>
      <c r="F35" s="2">
        <f t="shared" si="10"/>
        <v>-1.6350139808238826E-2</v>
      </c>
      <c r="G35" s="2">
        <f t="shared" si="5"/>
        <v>-1.2931725768400284E-3</v>
      </c>
      <c r="H35" s="2">
        <f t="shared" si="6"/>
        <v>-2.1302376742421799E-2</v>
      </c>
      <c r="I35" s="2">
        <f t="shared" si="7"/>
        <v>4.537912548760732E-4</v>
      </c>
      <c r="U35" s="2">
        <f t="shared" si="11"/>
        <v>8.8854995636459165E-61</v>
      </c>
    </row>
    <row r="36" spans="1:21" x14ac:dyDescent="0.3">
      <c r="A36">
        <f t="shared" si="3"/>
        <v>35</v>
      </c>
      <c r="B36" s="1">
        <v>-1.6954140138846236E-2</v>
      </c>
      <c r="C36" s="5">
        <f t="shared" si="4"/>
        <v>-1.5291986760512851E-2</v>
      </c>
      <c r="D36" s="2">
        <f t="shared" si="8"/>
        <v>-2.2595549319261828E-2</v>
      </c>
      <c r="E36" s="2">
        <f t="shared" si="9"/>
        <v>-2.1302376742421799E-2</v>
      </c>
      <c r="F36" s="2">
        <f t="shared" si="10"/>
        <v>-1.6526147431330355E-2</v>
      </c>
      <c r="G36" s="2">
        <f t="shared" si="5"/>
        <v>-1.6621533783333854E-3</v>
      </c>
      <c r="H36" s="2">
        <f t="shared" si="6"/>
        <v>-1.5291986760512851E-2</v>
      </c>
      <c r="I36" s="2">
        <f t="shared" si="7"/>
        <v>2.3384485908370032E-4</v>
      </c>
      <c r="U36" s="2">
        <f t="shared" si="11"/>
        <v>1.2789347864398078E-62</v>
      </c>
    </row>
    <row r="37" spans="1:21" x14ac:dyDescent="0.3">
      <c r="A37">
        <f t="shared" si="3"/>
        <v>36</v>
      </c>
      <c r="B37" s="1">
        <v>-9.9150818097445345E-3</v>
      </c>
      <c r="C37" s="5">
        <f t="shared" si="4"/>
        <v>-8.7113365077848594E-3</v>
      </c>
      <c r="D37" s="2">
        <f t="shared" si="8"/>
        <v>-1.6954140138846236E-2</v>
      </c>
      <c r="E37" s="2">
        <f t="shared" si="9"/>
        <v>-1.5291986760512851E-2</v>
      </c>
      <c r="F37" s="2">
        <f t="shared" si="10"/>
        <v>-2.1302376742421799E-2</v>
      </c>
      <c r="G37" s="2">
        <f t="shared" si="5"/>
        <v>-1.2037453019596751E-3</v>
      </c>
      <c r="H37" s="2">
        <f t="shared" si="6"/>
        <v>-8.7113365077848594E-3</v>
      </c>
      <c r="I37" s="2">
        <f t="shared" si="7"/>
        <v>7.5887383751865314E-5</v>
      </c>
      <c r="U37" s="2">
        <f t="shared" si="11"/>
        <v>1.8408353703128016E-64</v>
      </c>
    </row>
    <row r="38" spans="1:21" x14ac:dyDescent="0.3">
      <c r="A38">
        <f t="shared" si="3"/>
        <v>37</v>
      </c>
      <c r="B38" s="1">
        <v>-7.4904856950698429E-2</v>
      </c>
      <c r="C38" s="5">
        <f t="shared" si="4"/>
        <v>-7.4215425983033115E-2</v>
      </c>
      <c r="D38" s="2">
        <f t="shared" si="8"/>
        <v>-9.9150818097445345E-3</v>
      </c>
      <c r="E38" s="2">
        <f t="shared" si="9"/>
        <v>-8.7113365077848594E-3</v>
      </c>
      <c r="F38" s="2">
        <f t="shared" si="10"/>
        <v>-1.5291986760512851E-2</v>
      </c>
      <c r="G38" s="2">
        <f t="shared" si="5"/>
        <v>-6.8943096766531115E-4</v>
      </c>
      <c r="H38" s="2">
        <f t="shared" si="6"/>
        <v>-7.4215425983033115E-2</v>
      </c>
      <c r="I38" s="2">
        <f t="shared" si="7"/>
        <v>5.5079294538430664E-3</v>
      </c>
      <c r="U38" s="2">
        <f t="shared" si="11"/>
        <v>2.6496072329284127E-66</v>
      </c>
    </row>
    <row r="39" spans="1:21" x14ac:dyDescent="0.3">
      <c r="A39">
        <f t="shared" si="3"/>
        <v>38</v>
      </c>
      <c r="B39" s="1">
        <v>3.9656386772854976E-2</v>
      </c>
      <c r="C39" s="5">
        <f t="shared" si="4"/>
        <v>4.5392245267024407E-2</v>
      </c>
      <c r="D39" s="2">
        <f t="shared" si="8"/>
        <v>-7.4904856950698429E-2</v>
      </c>
      <c r="E39" s="2">
        <f t="shared" si="9"/>
        <v>-7.4215425983033115E-2</v>
      </c>
      <c r="F39" s="2">
        <f t="shared" si="10"/>
        <v>-8.7113365077848594E-3</v>
      </c>
      <c r="G39" s="2">
        <f t="shared" si="5"/>
        <v>-5.735858494169431E-3</v>
      </c>
      <c r="H39" s="2">
        <f t="shared" si="6"/>
        <v>4.5392245267024407E-2</v>
      </c>
      <c r="I39" s="2">
        <f t="shared" si="7"/>
        <v>2.0604559303816997E-3</v>
      </c>
      <c r="U39" s="2">
        <f t="shared" si="11"/>
        <v>3.8137133836110639E-68</v>
      </c>
    </row>
    <row r="40" spans="1:21" x14ac:dyDescent="0.3">
      <c r="A40">
        <f t="shared" si="3"/>
        <v>39</v>
      </c>
      <c r="B40" s="1">
        <v>-3.3986726086074621E-2</v>
      </c>
      <c r="C40" s="5">
        <f t="shared" si="4"/>
        <v>-3.7406310234665653E-2</v>
      </c>
      <c r="D40" s="2">
        <f t="shared" si="8"/>
        <v>3.9656386772854976E-2</v>
      </c>
      <c r="E40" s="2">
        <f t="shared" si="9"/>
        <v>4.5392245267024407E-2</v>
      </c>
      <c r="F40" s="2">
        <f t="shared" si="10"/>
        <v>-7.4215425983033115E-2</v>
      </c>
      <c r="G40" s="2">
        <f t="shared" si="5"/>
        <v>3.4195841485910321E-3</v>
      </c>
      <c r="H40" s="2">
        <f t="shared" si="6"/>
        <v>-3.7406310234665653E-2</v>
      </c>
      <c r="I40" s="2">
        <f t="shared" si="7"/>
        <v>1.3992320453720523E-3</v>
      </c>
      <c r="U40" s="2">
        <f t="shared" si="11"/>
        <v>5.4892701044823538E-70</v>
      </c>
    </row>
    <row r="41" spans="1:21" x14ac:dyDescent="0.3">
      <c r="A41">
        <f t="shared" si="3"/>
        <v>40</v>
      </c>
      <c r="B41" s="1">
        <v>-7.3469454255909963E-2</v>
      </c>
      <c r="C41" s="5">
        <f t="shared" si="4"/>
        <v>-7.0632668830271028E-2</v>
      </c>
      <c r="D41" s="2">
        <f t="shared" si="8"/>
        <v>-3.3986726086074621E-2</v>
      </c>
      <c r="E41" s="2">
        <f t="shared" si="9"/>
        <v>-3.7406310234665653E-2</v>
      </c>
      <c r="F41" s="2">
        <f t="shared" si="10"/>
        <v>4.5392245267024407E-2</v>
      </c>
      <c r="G41" s="2">
        <f t="shared" si="5"/>
        <v>-2.8367854256389356E-3</v>
      </c>
      <c r="H41" s="2">
        <f t="shared" si="6"/>
        <v>-7.0632668830271028E-2</v>
      </c>
      <c r="I41" s="2">
        <f t="shared" si="7"/>
        <v>4.9889739060867402E-3</v>
      </c>
      <c r="U41" s="2">
        <f t="shared" si="11"/>
        <v>7.900983437678464E-72</v>
      </c>
    </row>
    <row r="42" spans="1:21" x14ac:dyDescent="0.3">
      <c r="A42">
        <f t="shared" si="3"/>
        <v>41</v>
      </c>
      <c r="B42" s="1">
        <v>-8.1341832000141161E-3</v>
      </c>
      <c r="C42" s="5">
        <f t="shared" si="4"/>
        <v>-2.6438368456063732E-3</v>
      </c>
      <c r="D42" s="2">
        <f t="shared" si="8"/>
        <v>-7.3469454255909963E-2</v>
      </c>
      <c r="E42" s="2">
        <f t="shared" si="9"/>
        <v>-7.0632668830271028E-2</v>
      </c>
      <c r="F42" s="2">
        <f t="shared" si="10"/>
        <v>-3.7406310234665653E-2</v>
      </c>
      <c r="G42" s="2">
        <f t="shared" si="5"/>
        <v>-5.4903463544077429E-3</v>
      </c>
      <c r="H42" s="2">
        <f t="shared" si="6"/>
        <v>-2.6438368456063732E-3</v>
      </c>
      <c r="I42" s="2">
        <f t="shared" si="7"/>
        <v>6.9898732661858577E-6</v>
      </c>
      <c r="U42" s="2">
        <f t="shared" si="11"/>
        <v>1.1372284127810508E-73</v>
      </c>
    </row>
    <row r="43" spans="1:21" x14ac:dyDescent="0.3">
      <c r="A43">
        <f t="shared" si="3"/>
        <v>42</v>
      </c>
      <c r="B43" s="1">
        <v>1.0177240373899478E-2</v>
      </c>
      <c r="C43" s="5">
        <f t="shared" si="4"/>
        <v>1.0460245372888878E-2</v>
      </c>
      <c r="D43" s="2">
        <f t="shared" si="8"/>
        <v>-8.1341832000141161E-3</v>
      </c>
      <c r="E43" s="2">
        <f t="shared" si="9"/>
        <v>-2.6438368456063732E-3</v>
      </c>
      <c r="F43" s="2">
        <f t="shared" si="10"/>
        <v>-7.0632668830271028E-2</v>
      </c>
      <c r="G43" s="2">
        <f t="shared" si="5"/>
        <v>-2.830049989894001E-4</v>
      </c>
      <c r="H43" s="2">
        <f t="shared" si="6"/>
        <v>1.0460245372888878E-2</v>
      </c>
      <c r="I43" s="2">
        <f t="shared" si="7"/>
        <v>1.0941673326104318E-4</v>
      </c>
      <c r="U43" s="2">
        <f t="shared" si="11"/>
        <v>1.6368702365189534E-75</v>
      </c>
    </row>
    <row r="44" spans="1:21" x14ac:dyDescent="0.3">
      <c r="A44">
        <f t="shared" si="3"/>
        <v>43</v>
      </c>
      <c r="B44" s="1">
        <v>-4.0556476344662924E-2</v>
      </c>
      <c r="C44" s="5">
        <f t="shared" si="4"/>
        <v>-4.1359441151768671E-2</v>
      </c>
      <c r="D44" s="2">
        <f t="shared" si="8"/>
        <v>1.0177240373899478E-2</v>
      </c>
      <c r="E44" s="2">
        <f t="shared" si="9"/>
        <v>1.0460245372888878E-2</v>
      </c>
      <c r="F44" s="2">
        <f t="shared" si="10"/>
        <v>-2.6438368456063732E-3</v>
      </c>
      <c r="G44" s="2">
        <f t="shared" si="5"/>
        <v>8.0296480710574832E-4</v>
      </c>
      <c r="H44" s="2">
        <f t="shared" si="6"/>
        <v>-4.1359441151768671E-2</v>
      </c>
      <c r="I44" s="2">
        <f t="shared" si="7"/>
        <v>1.7106033723866159E-3</v>
      </c>
      <c r="U44" s="2">
        <f t="shared" si="11"/>
        <v>2.3560299242342844E-77</v>
      </c>
    </row>
    <row r="45" spans="1:21" x14ac:dyDescent="0.3">
      <c r="A45">
        <f t="shared" si="3"/>
        <v>44</v>
      </c>
      <c r="B45" s="1">
        <v>-3.6863191317690412E-2</v>
      </c>
      <c r="C45" s="5">
        <f t="shared" si="4"/>
        <v>-3.3683748064459777E-2</v>
      </c>
      <c r="D45" s="2">
        <f t="shared" si="8"/>
        <v>-4.0556476344662924E-2</v>
      </c>
      <c r="E45" s="2">
        <f t="shared" si="9"/>
        <v>-4.1359441151768671E-2</v>
      </c>
      <c r="F45" s="2">
        <f t="shared" si="10"/>
        <v>1.0460245372888878E-2</v>
      </c>
      <c r="G45" s="2">
        <f t="shared" si="5"/>
        <v>-3.1794432532306345E-3</v>
      </c>
      <c r="H45" s="2">
        <f t="shared" si="6"/>
        <v>-3.3683748064459777E-2</v>
      </c>
      <c r="I45" s="2">
        <f t="shared" si="7"/>
        <v>1.1345948836699977E-3</v>
      </c>
      <c r="U45" s="2">
        <f t="shared" si="11"/>
        <v>3.3911527499529639E-79</v>
      </c>
    </row>
    <row r="46" spans="1:21" x14ac:dyDescent="0.3">
      <c r="A46">
        <f t="shared" si="3"/>
        <v>45</v>
      </c>
      <c r="B46" s="1">
        <v>1.788525398724965E-2</v>
      </c>
      <c r="C46" s="5">
        <f t="shared" si="4"/>
        <v>2.0529816085817797E-2</v>
      </c>
      <c r="D46" s="2">
        <f t="shared" si="8"/>
        <v>-3.6863191317690412E-2</v>
      </c>
      <c r="E46" s="2">
        <f t="shared" si="9"/>
        <v>-3.3683748064459777E-2</v>
      </c>
      <c r="F46" s="2">
        <f t="shared" si="10"/>
        <v>-4.1359441151768671E-2</v>
      </c>
      <c r="G46" s="2">
        <f t="shared" si="5"/>
        <v>-2.644562098568145E-3</v>
      </c>
      <c r="H46" s="2">
        <f t="shared" si="6"/>
        <v>2.0529816085817797E-2</v>
      </c>
      <c r="I46" s="2">
        <f t="shared" si="7"/>
        <v>4.2147334851750317E-4</v>
      </c>
      <c r="U46" s="2">
        <f t="shared" si="11"/>
        <v>4.8810572629934026E-81</v>
      </c>
    </row>
    <row r="47" spans="1:21" x14ac:dyDescent="0.3">
      <c r="A47">
        <f t="shared" si="3"/>
        <v>46</v>
      </c>
      <c r="B47" s="1">
        <v>6.9185476076715685E-2</v>
      </c>
      <c r="C47" s="5">
        <f t="shared" si="4"/>
        <v>6.7639605793740912E-2</v>
      </c>
      <c r="D47" s="2">
        <f t="shared" si="8"/>
        <v>1.788525398724965E-2</v>
      </c>
      <c r="E47" s="2">
        <f t="shared" si="9"/>
        <v>2.0529816085817797E-2</v>
      </c>
      <c r="F47" s="2">
        <f t="shared" si="10"/>
        <v>-3.3683748064459777E-2</v>
      </c>
      <c r="G47" s="2">
        <f t="shared" si="5"/>
        <v>1.5458702829747686E-3</v>
      </c>
      <c r="H47" s="2">
        <f t="shared" si="6"/>
        <v>6.7639605793740912E-2</v>
      </c>
      <c r="I47" s="2">
        <f t="shared" si="7"/>
        <v>4.5751162719326688E-3</v>
      </c>
      <c r="U47" s="2">
        <f t="shared" si="11"/>
        <v>7.0255520058632277E-83</v>
      </c>
    </row>
    <row r="48" spans="1:21" x14ac:dyDescent="0.3">
      <c r="A48">
        <f t="shared" si="3"/>
        <v>47</v>
      </c>
      <c r="B48" s="1">
        <v>-1.9933962113894102E-2</v>
      </c>
      <c r="C48" s="5">
        <f t="shared" si="4"/>
        <v>-2.5174804189110261E-2</v>
      </c>
      <c r="D48" s="2">
        <f t="shared" si="8"/>
        <v>6.9185476076715685E-2</v>
      </c>
      <c r="E48" s="2">
        <f t="shared" si="9"/>
        <v>6.7639605793740912E-2</v>
      </c>
      <c r="F48" s="2">
        <f t="shared" si="10"/>
        <v>2.0529816085817797E-2</v>
      </c>
      <c r="G48" s="2">
        <f t="shared" si="5"/>
        <v>5.2408420752161596E-3</v>
      </c>
      <c r="H48" s="2">
        <f t="shared" si="6"/>
        <v>-2.5174804189110261E-2</v>
      </c>
      <c r="I48" s="2">
        <f t="shared" si="7"/>
        <v>6.3377076596004352E-4</v>
      </c>
      <c r="U48" s="2">
        <f t="shared" si="11"/>
        <v>1.0112231495686007E-84</v>
      </c>
    </row>
    <row r="49" spans="1:21" x14ac:dyDescent="0.3">
      <c r="A49">
        <f t="shared" si="3"/>
        <v>48</v>
      </c>
      <c r="B49" s="1">
        <v>1.7794171097426113E-2</v>
      </c>
      <c r="C49" s="5">
        <f t="shared" si="4"/>
        <v>1.9661046104482341E-2</v>
      </c>
      <c r="D49" s="2">
        <f t="shared" si="8"/>
        <v>-1.9933962113894102E-2</v>
      </c>
      <c r="E49" s="2">
        <f t="shared" si="9"/>
        <v>-2.5174804189110261E-2</v>
      </c>
      <c r="F49" s="2">
        <f t="shared" si="10"/>
        <v>6.7639605793740912E-2</v>
      </c>
      <c r="G49" s="2">
        <f t="shared" si="5"/>
        <v>-1.8668750070562291E-3</v>
      </c>
      <c r="H49" s="2">
        <f t="shared" si="6"/>
        <v>1.9661046104482341E-2</v>
      </c>
      <c r="I49" s="2">
        <f t="shared" si="7"/>
        <v>3.8655673392258024E-4</v>
      </c>
      <c r="U49" s="2">
        <f t="shared" si="11"/>
        <v>1.4555045032334044E-86</v>
      </c>
    </row>
    <row r="50" spans="1:21" x14ac:dyDescent="0.3">
      <c r="A50">
        <f t="shared" si="3"/>
        <v>49</v>
      </c>
      <c r="B50" s="1">
        <v>1.5177630855477459E-2</v>
      </c>
      <c r="C50" s="5">
        <f t="shared" si="4"/>
        <v>1.36875950512595E-2</v>
      </c>
      <c r="D50" s="2">
        <f t="shared" si="8"/>
        <v>1.7794171097426113E-2</v>
      </c>
      <c r="E50" s="2">
        <f t="shared" si="9"/>
        <v>1.9661046104482341E-2</v>
      </c>
      <c r="F50" s="2">
        <f t="shared" si="10"/>
        <v>-2.5174804189110261E-2</v>
      </c>
      <c r="G50" s="2">
        <f t="shared" si="5"/>
        <v>1.4900358042179583E-3</v>
      </c>
      <c r="H50" s="2">
        <f t="shared" si="6"/>
        <v>1.36875950512595E-2</v>
      </c>
      <c r="I50" s="2">
        <f t="shared" si="7"/>
        <v>1.8735025828726357E-4</v>
      </c>
      <c r="U50" s="2">
        <f t="shared" si="11"/>
        <v>2.0949810730069745E-88</v>
      </c>
    </row>
    <row r="51" spans="1:21" x14ac:dyDescent="0.3">
      <c r="A51">
        <f t="shared" si="3"/>
        <v>50</v>
      </c>
      <c r="B51" s="1">
        <v>-6.3215029010834619E-3</v>
      </c>
      <c r="C51" s="5">
        <f t="shared" si="4"/>
        <v>-7.3989873585861132E-3</v>
      </c>
      <c r="D51" s="2">
        <f t="shared" si="8"/>
        <v>1.5177630855477459E-2</v>
      </c>
      <c r="E51" s="2">
        <f t="shared" si="9"/>
        <v>1.36875950512595E-2</v>
      </c>
      <c r="F51" s="2">
        <f t="shared" si="10"/>
        <v>1.9661046104482341E-2</v>
      </c>
      <c r="G51" s="2">
        <f t="shared" si="5"/>
        <v>1.0774844575026515E-3</v>
      </c>
      <c r="H51" s="2">
        <f t="shared" si="6"/>
        <v>-7.3989873585861132E-3</v>
      </c>
      <c r="I51" s="2">
        <f t="shared" si="7"/>
        <v>5.4745013932517105E-5</v>
      </c>
      <c r="U51" s="2">
        <f t="shared" si="11"/>
        <v>3.0154119664400955E-90</v>
      </c>
    </row>
    <row r="52" spans="1:21" x14ac:dyDescent="0.3">
      <c r="A52">
        <f t="shared" si="3"/>
        <v>51</v>
      </c>
      <c r="B52" s="1">
        <v>3.2148666018575453E-2</v>
      </c>
      <c r="C52" s="5">
        <f t="shared" si="4"/>
        <v>3.2704010555640269E-2</v>
      </c>
      <c r="D52" s="2">
        <f t="shared" si="8"/>
        <v>-6.3215029010834619E-3</v>
      </c>
      <c r="E52" s="2">
        <f t="shared" si="9"/>
        <v>-7.3989873585861132E-3</v>
      </c>
      <c r="F52" s="2">
        <f t="shared" si="10"/>
        <v>1.36875950512595E-2</v>
      </c>
      <c r="G52" s="2">
        <f t="shared" si="5"/>
        <v>-5.5534453706481779E-4</v>
      </c>
      <c r="H52" s="2">
        <f t="shared" si="6"/>
        <v>3.2704010555640269E-2</v>
      </c>
      <c r="I52" s="2">
        <f t="shared" si="7"/>
        <v>1.0695523064234301E-3</v>
      </c>
      <c r="U52" s="2">
        <f t="shared" si="11"/>
        <v>4.3402345942434455E-92</v>
      </c>
    </row>
    <row r="53" spans="1:21" x14ac:dyDescent="0.3">
      <c r="A53">
        <f t="shared" si="3"/>
        <v>52</v>
      </c>
      <c r="B53" s="1">
        <v>6.6111118693576339E-3</v>
      </c>
      <c r="C53" s="5">
        <f t="shared" si="4"/>
        <v>4.0958960437067257E-3</v>
      </c>
      <c r="D53" s="2">
        <f t="shared" si="8"/>
        <v>3.2148666018575453E-2</v>
      </c>
      <c r="E53" s="2">
        <f t="shared" si="9"/>
        <v>3.2704010555640269E-2</v>
      </c>
      <c r="F53" s="2">
        <f t="shared" si="10"/>
        <v>-7.3989873585861132E-3</v>
      </c>
      <c r="G53" s="2">
        <f t="shared" si="5"/>
        <v>2.5152158256509078E-3</v>
      </c>
      <c r="H53" s="2">
        <f t="shared" si="6"/>
        <v>4.0958960437067257E-3</v>
      </c>
      <c r="I53" s="2">
        <f t="shared" si="7"/>
        <v>1.6776364400852409E-5</v>
      </c>
    </row>
    <row r="54" spans="1:21" x14ac:dyDescent="0.3">
      <c r="A54">
        <f t="shared" si="3"/>
        <v>53</v>
      </c>
      <c r="B54" s="1">
        <v>8.0712568883377286E-3</v>
      </c>
      <c r="C54" s="5">
        <f t="shared" si="4"/>
        <v>7.7190438695117266E-3</v>
      </c>
      <c r="D54" s="2">
        <f t="shared" si="8"/>
        <v>6.6111118693576339E-3</v>
      </c>
      <c r="E54" s="2">
        <f t="shared" si="9"/>
        <v>4.0958960437067257E-3</v>
      </c>
      <c r="F54" s="2">
        <f t="shared" si="10"/>
        <v>3.2704010555640269E-2</v>
      </c>
      <c r="G54" s="2">
        <f t="shared" si="5"/>
        <v>3.5221301882600205E-4</v>
      </c>
      <c r="H54" s="2">
        <f t="shared" si="6"/>
        <v>7.7190438695117266E-3</v>
      </c>
      <c r="I54" s="2">
        <f t="shared" si="7"/>
        <v>5.9583638259446572E-5</v>
      </c>
    </row>
    <row r="55" spans="1:21" x14ac:dyDescent="0.3">
      <c r="A55">
        <f t="shared" si="3"/>
        <v>54</v>
      </c>
      <c r="B55" s="1">
        <v>-3.1914397643425995E-3</v>
      </c>
      <c r="C55" s="5">
        <f t="shared" si="4"/>
        <v>-3.7920559458135554E-3</v>
      </c>
      <c r="D55" s="2">
        <f t="shared" si="8"/>
        <v>8.0712568883377286E-3</v>
      </c>
      <c r="E55" s="2">
        <f t="shared" si="9"/>
        <v>7.7190438695117266E-3</v>
      </c>
      <c r="F55" s="2">
        <f t="shared" si="10"/>
        <v>4.0958960437067257E-3</v>
      </c>
      <c r="G55" s="2">
        <f t="shared" si="5"/>
        <v>6.0061618147095599E-4</v>
      </c>
      <c r="H55" s="2">
        <f t="shared" si="6"/>
        <v>-3.7920559458135554E-3</v>
      </c>
      <c r="I55" s="2">
        <f t="shared" si="7"/>
        <v>1.4379688296179938E-5</v>
      </c>
    </row>
    <row r="56" spans="1:21" x14ac:dyDescent="0.3">
      <c r="A56">
        <f t="shared" si="3"/>
        <v>55</v>
      </c>
      <c r="B56" s="1">
        <v>1.6279246837467176E-2</v>
      </c>
      <c r="C56" s="5">
        <f t="shared" si="4"/>
        <v>1.6563169970054806E-2</v>
      </c>
      <c r="D56" s="2">
        <f t="shared" si="8"/>
        <v>-3.1914397643425995E-3</v>
      </c>
      <c r="E56" s="2">
        <f t="shared" si="9"/>
        <v>-3.7920559458135554E-3</v>
      </c>
      <c r="F56" s="2">
        <f t="shared" si="10"/>
        <v>7.7190438695117266E-3</v>
      </c>
      <c r="G56" s="2">
        <f t="shared" si="5"/>
        <v>-2.8392313258763136E-4</v>
      </c>
      <c r="H56" s="2">
        <f t="shared" si="6"/>
        <v>1.6563169970054806E-2</v>
      </c>
      <c r="I56" s="2">
        <f t="shared" si="7"/>
        <v>2.7433859945692534E-4</v>
      </c>
    </row>
    <row r="57" spans="1:21" x14ac:dyDescent="0.3">
      <c r="A57">
        <f t="shared" si="3"/>
        <v>56</v>
      </c>
      <c r="B57" s="1">
        <v>-2.2509628702727061E-2</v>
      </c>
      <c r="C57" s="5">
        <f t="shared" si="4"/>
        <v>-2.3783438611603553E-2</v>
      </c>
      <c r="D57" s="2">
        <f t="shared" si="8"/>
        <v>1.6279246837467176E-2</v>
      </c>
      <c r="E57" s="2">
        <f t="shared" si="9"/>
        <v>1.6563169970054806E-2</v>
      </c>
      <c r="F57" s="2">
        <f t="shared" si="10"/>
        <v>-3.7920559458135554E-3</v>
      </c>
      <c r="G57" s="2">
        <f t="shared" si="5"/>
        <v>1.2738099088764913E-3</v>
      </c>
      <c r="H57" s="2">
        <f t="shared" si="6"/>
        <v>-2.3783438611603553E-2</v>
      </c>
      <c r="I57" s="2">
        <f t="shared" si="7"/>
        <v>5.6565195219191475E-4</v>
      </c>
    </row>
    <row r="58" spans="1:21" x14ac:dyDescent="0.3">
      <c r="A58">
        <f t="shared" si="3"/>
        <v>57</v>
      </c>
      <c r="B58" s="1">
        <v>-2.2785246029928135E-2</v>
      </c>
      <c r="C58" s="5">
        <f t="shared" si="4"/>
        <v>-2.0968619413248523E-2</v>
      </c>
      <c r="D58" s="2">
        <f t="shared" si="8"/>
        <v>-2.2509628702727061E-2</v>
      </c>
      <c r="E58" s="2">
        <f t="shared" si="9"/>
        <v>-2.3783438611603553E-2</v>
      </c>
      <c r="F58" s="2">
        <f t="shared" si="10"/>
        <v>1.6563169970054806E-2</v>
      </c>
      <c r="G58" s="2">
        <f t="shared" si="5"/>
        <v>-1.816626616679611E-3</v>
      </c>
      <c r="H58" s="2">
        <f t="shared" si="6"/>
        <v>-2.0968619413248523E-2</v>
      </c>
      <c r="I58" s="2">
        <f t="shared" si="7"/>
        <v>4.3968300009766283E-4</v>
      </c>
    </row>
    <row r="59" spans="1:21" x14ac:dyDescent="0.3">
      <c r="A59">
        <f t="shared" si="3"/>
        <v>58</v>
      </c>
      <c r="B59" s="1">
        <v>4.016894734355258E-3</v>
      </c>
      <c r="C59" s="5">
        <f t="shared" si="4"/>
        <v>5.6608321057430499E-3</v>
      </c>
      <c r="D59" s="2">
        <f t="shared" si="8"/>
        <v>-2.2785246029928135E-2</v>
      </c>
      <c r="E59" s="2">
        <f t="shared" si="9"/>
        <v>-2.0968619413248523E-2</v>
      </c>
      <c r="F59" s="2">
        <f t="shared" si="10"/>
        <v>-2.3783438611603553E-2</v>
      </c>
      <c r="G59" s="2">
        <f t="shared" si="5"/>
        <v>-1.6439373713877919E-3</v>
      </c>
      <c r="H59" s="2">
        <f t="shared" si="6"/>
        <v>5.6608321057430499E-3</v>
      </c>
      <c r="I59" s="2">
        <f t="shared" si="7"/>
        <v>3.204502012941129E-5</v>
      </c>
    </row>
    <row r="60" spans="1:21" x14ac:dyDescent="0.3">
      <c r="A60">
        <f t="shared" si="3"/>
        <v>59</v>
      </c>
      <c r="B60" s="1">
        <v>-8.8478376790346205E-4</v>
      </c>
      <c r="C60" s="5">
        <f t="shared" si="4"/>
        <v>-1.2978713480026442E-3</v>
      </c>
      <c r="D60" s="2">
        <f t="shared" si="8"/>
        <v>4.016894734355258E-3</v>
      </c>
      <c r="E60" s="2">
        <f t="shared" si="9"/>
        <v>5.6608321057430499E-3</v>
      </c>
      <c r="F60" s="2">
        <f t="shared" si="10"/>
        <v>-2.0968619413248523E-2</v>
      </c>
      <c r="G60" s="2">
        <f t="shared" si="5"/>
        <v>4.1308758009918209E-4</v>
      </c>
      <c r="H60" s="2">
        <f t="shared" si="6"/>
        <v>-1.2978713480026442E-3</v>
      </c>
      <c r="I60" s="2">
        <f t="shared" si="7"/>
        <v>1.6844700359662007E-6</v>
      </c>
    </row>
    <row r="61" spans="1:21" x14ac:dyDescent="0.3">
      <c r="A61">
        <f t="shared" si="3"/>
        <v>60</v>
      </c>
      <c r="B61" s="1">
        <v>3.5143598814075375E-2</v>
      </c>
      <c r="C61" s="5">
        <f t="shared" si="4"/>
        <v>3.52377875714011E-2</v>
      </c>
      <c r="D61" s="2">
        <f t="shared" si="8"/>
        <v>-8.8478376790346205E-4</v>
      </c>
      <c r="E61" s="2">
        <f t="shared" si="9"/>
        <v>-1.2978713480026442E-3</v>
      </c>
      <c r="F61" s="2">
        <f t="shared" si="10"/>
        <v>5.6608321057430499E-3</v>
      </c>
      <c r="G61" s="2">
        <f t="shared" si="5"/>
        <v>-9.4188757325727561E-5</v>
      </c>
      <c r="H61" s="2">
        <f t="shared" si="6"/>
        <v>3.52377875714011E-2</v>
      </c>
      <c r="I61" s="2">
        <f t="shared" si="7"/>
        <v>1.2417016729271899E-3</v>
      </c>
    </row>
    <row r="62" spans="1:21" x14ac:dyDescent="0.3">
      <c r="A62">
        <f t="shared" si="3"/>
        <v>61</v>
      </c>
      <c r="B62" s="1">
        <v>-8.4933262235316141E-3</v>
      </c>
      <c r="C62" s="5">
        <f t="shared" si="4"/>
        <v>-1.1210667935823976E-2</v>
      </c>
      <c r="D62" s="2">
        <f t="shared" si="8"/>
        <v>3.5143598814075375E-2</v>
      </c>
      <c r="E62" s="2">
        <f t="shared" si="9"/>
        <v>3.52377875714011E-2</v>
      </c>
      <c r="F62" s="2">
        <f t="shared" si="10"/>
        <v>-1.2978713480026442E-3</v>
      </c>
      <c r="G62" s="2">
        <f t="shared" si="5"/>
        <v>2.7173417122923617E-3</v>
      </c>
      <c r="H62" s="2">
        <f t="shared" si="6"/>
        <v>-1.1210667935823976E-2</v>
      </c>
      <c r="I62" s="2">
        <f t="shared" si="7"/>
        <v>1.2567907556731181E-4</v>
      </c>
    </row>
    <row r="63" spans="1:21" x14ac:dyDescent="0.3">
      <c r="A63">
        <f t="shared" si="3"/>
        <v>62</v>
      </c>
      <c r="B63" s="1">
        <v>-1.2610984463916461E-2</v>
      </c>
      <c r="C63" s="5">
        <f t="shared" si="4"/>
        <v>-1.1785161018230015E-2</v>
      </c>
      <c r="D63" s="2">
        <f t="shared" si="8"/>
        <v>-8.4933262235316141E-3</v>
      </c>
      <c r="E63" s="2">
        <f t="shared" si="9"/>
        <v>-1.1210667935823976E-2</v>
      </c>
      <c r="F63" s="2">
        <f t="shared" si="10"/>
        <v>3.52377875714011E-2</v>
      </c>
      <c r="G63" s="2">
        <f t="shared" si="5"/>
        <v>-8.2582344568644592E-4</v>
      </c>
      <c r="H63" s="2">
        <f t="shared" si="6"/>
        <v>-1.1785161018230015E-2</v>
      </c>
      <c r="I63" s="2">
        <f t="shared" si="7"/>
        <v>1.3889002022560832E-4</v>
      </c>
    </row>
    <row r="64" spans="1:21" x14ac:dyDescent="0.3">
      <c r="A64">
        <f t="shared" si="3"/>
        <v>63</v>
      </c>
      <c r="B64" s="1">
        <v>2.8078511558450757E-3</v>
      </c>
      <c r="C64" s="5">
        <f t="shared" si="4"/>
        <v>3.7289969714510438E-3</v>
      </c>
      <c r="D64" s="2">
        <f t="shared" si="8"/>
        <v>-1.2610984463916461E-2</v>
      </c>
      <c r="E64" s="2">
        <f t="shared" si="9"/>
        <v>-1.1785161018230015E-2</v>
      </c>
      <c r="F64" s="2">
        <f t="shared" si="10"/>
        <v>-1.1210667935823976E-2</v>
      </c>
      <c r="G64" s="2">
        <f t="shared" si="5"/>
        <v>-9.2114581560596835E-4</v>
      </c>
      <c r="H64" s="2">
        <f t="shared" si="6"/>
        <v>3.7289969714510438E-3</v>
      </c>
      <c r="I64" s="2">
        <f t="shared" si="7"/>
        <v>1.3905418413091057E-5</v>
      </c>
    </row>
    <row r="65" spans="1:9" x14ac:dyDescent="0.3">
      <c r="A65">
        <f t="shared" si="3"/>
        <v>64</v>
      </c>
      <c r="B65" s="1">
        <v>-3.7082730250175039E-3</v>
      </c>
      <c r="C65" s="5">
        <f t="shared" si="4"/>
        <v>-3.9827174302527971E-3</v>
      </c>
      <c r="D65" s="2">
        <f t="shared" si="8"/>
        <v>2.8078511558450757E-3</v>
      </c>
      <c r="E65" s="2">
        <f t="shared" si="9"/>
        <v>3.7289969714510438E-3</v>
      </c>
      <c r="F65" s="2">
        <f t="shared" si="10"/>
        <v>-1.1785161018230015E-2</v>
      </c>
      <c r="G65" s="2">
        <f t="shared" si="5"/>
        <v>2.7444440523529328E-4</v>
      </c>
      <c r="H65" s="2">
        <f t="shared" si="6"/>
        <v>-3.9827174302527971E-3</v>
      </c>
      <c r="I65" s="2">
        <f t="shared" si="7"/>
        <v>1.5862038129239446E-5</v>
      </c>
    </row>
    <row r="66" spans="1:9" x14ac:dyDescent="0.3">
      <c r="A66">
        <f t="shared" si="3"/>
        <v>65</v>
      </c>
      <c r="B66" s="1">
        <v>-1.6901037899613405E-2</v>
      </c>
      <c r="C66" s="5">
        <f t="shared" si="4"/>
        <v>-1.6597709926072939E-2</v>
      </c>
      <c r="D66" s="2">
        <f t="shared" si="8"/>
        <v>-3.7082730250175039E-3</v>
      </c>
      <c r="E66" s="2">
        <f t="shared" si="9"/>
        <v>-3.9827174302527971E-3</v>
      </c>
      <c r="F66" s="2">
        <f t="shared" si="10"/>
        <v>3.7289969714510438E-3</v>
      </c>
      <c r="G66" s="2">
        <f t="shared" si="5"/>
        <v>-3.033279735404666E-4</v>
      </c>
      <c r="H66" s="2">
        <f t="shared" si="6"/>
        <v>-1.6597709926072939E-2</v>
      </c>
      <c r="I66" s="2">
        <f t="shared" si="7"/>
        <v>2.7548397479006017E-4</v>
      </c>
    </row>
    <row r="67" spans="1:9" x14ac:dyDescent="0.3">
      <c r="A67">
        <f t="shared" si="3"/>
        <v>66</v>
      </c>
      <c r="B67" s="1">
        <v>-2.6177205874303614E-2</v>
      </c>
      <c r="C67" s="5">
        <f t="shared" si="4"/>
        <v>-2.489227850625066E-2</v>
      </c>
      <c r="D67" s="2">
        <f t="shared" si="8"/>
        <v>-1.6901037899613405E-2</v>
      </c>
      <c r="E67" s="2">
        <f t="shared" si="9"/>
        <v>-1.6597709926072939E-2</v>
      </c>
      <c r="F67" s="2">
        <f t="shared" si="10"/>
        <v>-3.9827174302527971E-3</v>
      </c>
      <c r="G67" s="2">
        <f t="shared" si="5"/>
        <v>-1.2849273680529539E-3</v>
      </c>
      <c r="H67" s="2">
        <f t="shared" si="6"/>
        <v>-2.489227850625066E-2</v>
      </c>
      <c r="I67" s="2">
        <f t="shared" si="7"/>
        <v>6.1962552923274861E-4</v>
      </c>
    </row>
    <row r="68" spans="1:9" x14ac:dyDescent="0.3">
      <c r="A68">
        <f t="shared" ref="A68:A110" si="12">A67+1</f>
        <v>67</v>
      </c>
      <c r="B68" s="1">
        <v>-4.6183760271147423E-3</v>
      </c>
      <c r="C68" s="5">
        <f t="shared" ref="C68:C110" si="13">B68-G68</f>
        <v>-2.6793700028028998E-3</v>
      </c>
      <c r="D68" s="2">
        <f t="shared" si="8"/>
        <v>-2.6177205874303614E-2</v>
      </c>
      <c r="E68" s="2">
        <f t="shared" si="9"/>
        <v>-2.489227850625066E-2</v>
      </c>
      <c r="F68" s="2">
        <f t="shared" si="10"/>
        <v>-1.6597709926072939E-2</v>
      </c>
      <c r="G68" s="2">
        <f t="shared" ref="G68:G110" si="14">$L$2 + $L$3*D68 + $L$4*E68 + $L$5*F68</f>
        <v>-1.9390060243118427E-3</v>
      </c>
      <c r="H68" s="2">
        <f t="shared" ref="H68:H110" si="15">C68</f>
        <v>-2.6793700028028998E-3</v>
      </c>
      <c r="I68" s="2">
        <f t="shared" ref="I68:I110" si="16">C68^2</f>
        <v>7.1790236119200112E-6</v>
      </c>
    </row>
    <row r="69" spans="1:9" x14ac:dyDescent="0.3">
      <c r="A69">
        <f t="shared" si="12"/>
        <v>68</v>
      </c>
      <c r="B69" s="1">
        <v>2.4179077638231017E-2</v>
      </c>
      <c r="C69" s="5">
        <f t="shared" si="13"/>
        <v>2.4413707889963478E-2</v>
      </c>
      <c r="D69" s="2">
        <f t="shared" ref="D69:D110" si="17">B68</f>
        <v>-4.6183760271147423E-3</v>
      </c>
      <c r="E69" s="2">
        <f t="shared" ref="E69:E110" si="18">C68</f>
        <v>-2.6793700028028998E-3</v>
      </c>
      <c r="F69" s="2">
        <f t="shared" si="10"/>
        <v>-2.489227850625066E-2</v>
      </c>
      <c r="G69" s="2">
        <f t="shared" si="14"/>
        <v>-2.3463025173246126E-4</v>
      </c>
      <c r="H69" s="2">
        <f t="shared" si="15"/>
        <v>2.4413707889963478E-2</v>
      </c>
      <c r="I69" s="2">
        <f t="shared" si="16"/>
        <v>5.9602913293646499E-4</v>
      </c>
    </row>
    <row r="70" spans="1:9" x14ac:dyDescent="0.3">
      <c r="A70">
        <f t="shared" si="12"/>
        <v>69</v>
      </c>
      <c r="B70" s="1">
        <v>-9.8653500312086868E-3</v>
      </c>
      <c r="C70" s="5">
        <f t="shared" si="13"/>
        <v>-1.1745561186178036E-2</v>
      </c>
      <c r="D70" s="2">
        <f t="shared" si="17"/>
        <v>2.4179077638231017E-2</v>
      </c>
      <c r="E70" s="2">
        <f t="shared" si="18"/>
        <v>2.4413707889963478E-2</v>
      </c>
      <c r="F70" s="2">
        <f t="shared" ref="F70:F110" si="19">C68</f>
        <v>-2.6793700028028998E-3</v>
      </c>
      <c r="G70" s="2">
        <f t="shared" si="14"/>
        <v>1.8802111549693504E-3</v>
      </c>
      <c r="H70" s="2">
        <f t="shared" si="15"/>
        <v>-1.1745561186178036E-2</v>
      </c>
      <c r="I70" s="2">
        <f t="shared" si="16"/>
        <v>1.3795820757825201E-4</v>
      </c>
    </row>
    <row r="71" spans="1:9" x14ac:dyDescent="0.3">
      <c r="A71">
        <f t="shared" si="12"/>
        <v>70</v>
      </c>
      <c r="B71" s="1">
        <v>2.4068827830097512E-3</v>
      </c>
      <c r="C71" s="5">
        <f t="shared" si="13"/>
        <v>3.2860240354138778E-3</v>
      </c>
      <c r="D71" s="2">
        <f t="shared" si="17"/>
        <v>-9.8653500312086868E-3</v>
      </c>
      <c r="E71" s="2">
        <f t="shared" si="18"/>
        <v>-1.1745561186178036E-2</v>
      </c>
      <c r="F71" s="2">
        <f t="shared" si="19"/>
        <v>2.4413707889963478E-2</v>
      </c>
      <c r="G71" s="2">
        <f t="shared" si="14"/>
        <v>-8.7914125240412652E-4</v>
      </c>
      <c r="H71" s="2">
        <f t="shared" si="15"/>
        <v>3.2860240354138778E-3</v>
      </c>
      <c r="I71" s="2">
        <f t="shared" si="16"/>
        <v>1.0797953961317706E-5</v>
      </c>
    </row>
    <row r="72" spans="1:9" x14ac:dyDescent="0.3">
      <c r="A72">
        <f t="shared" si="12"/>
        <v>71</v>
      </c>
      <c r="B72" s="1">
        <v>6.9569766963577797E-3</v>
      </c>
      <c r="C72" s="5">
        <f t="shared" si="13"/>
        <v>6.7161043438542702E-3</v>
      </c>
      <c r="D72" s="2">
        <f t="shared" si="17"/>
        <v>2.4068827830097512E-3</v>
      </c>
      <c r="E72" s="2">
        <f t="shared" si="18"/>
        <v>3.2860240354138778E-3</v>
      </c>
      <c r="F72" s="2">
        <f t="shared" si="19"/>
        <v>-1.1745561186178036E-2</v>
      </c>
      <c r="G72" s="2">
        <f t="shared" si="14"/>
        <v>2.4087235250350945E-4</v>
      </c>
      <c r="H72" s="2">
        <f t="shared" si="15"/>
        <v>6.7161043438542702E-3</v>
      </c>
      <c r="I72" s="2">
        <f t="shared" si="16"/>
        <v>4.5106057557538195E-5</v>
      </c>
    </row>
    <row r="73" spans="1:9" x14ac:dyDescent="0.3">
      <c r="A73">
        <f t="shared" si="12"/>
        <v>72</v>
      </c>
      <c r="B73" s="1">
        <v>9.3046002762794781E-3</v>
      </c>
      <c r="C73" s="5">
        <f t="shared" si="13"/>
        <v>8.7829663677908357E-3</v>
      </c>
      <c r="D73" s="2">
        <f t="shared" si="17"/>
        <v>6.9569766963577797E-3</v>
      </c>
      <c r="E73" s="2">
        <f t="shared" si="18"/>
        <v>6.7161043438542702E-3</v>
      </c>
      <c r="F73" s="2">
        <f t="shared" si="19"/>
        <v>3.2860240354138778E-3</v>
      </c>
      <c r="G73" s="2">
        <f t="shared" si="14"/>
        <v>5.2163390848864225E-4</v>
      </c>
      <c r="H73" s="2">
        <f t="shared" si="15"/>
        <v>8.7829663677908357E-3</v>
      </c>
      <c r="I73" s="2">
        <f t="shared" si="16"/>
        <v>7.7140498217744943E-5</v>
      </c>
    </row>
    <row r="74" spans="1:9" x14ac:dyDescent="0.3">
      <c r="A74">
        <f t="shared" si="12"/>
        <v>73</v>
      </c>
      <c r="B74" s="1">
        <v>-8.8967835118414177E-5</v>
      </c>
      <c r="C74" s="5">
        <f t="shared" si="13"/>
        <v>-7.7410728057847192E-4</v>
      </c>
      <c r="D74" s="2">
        <f t="shared" si="17"/>
        <v>9.3046002762794781E-3</v>
      </c>
      <c r="E74" s="2">
        <f t="shared" si="18"/>
        <v>8.7829663677908357E-3</v>
      </c>
      <c r="F74" s="2">
        <f t="shared" si="19"/>
        <v>6.7161043438542702E-3</v>
      </c>
      <c r="G74" s="2">
        <f t="shared" si="14"/>
        <v>6.851394454600577E-4</v>
      </c>
      <c r="H74" s="2">
        <f t="shared" si="15"/>
        <v>-7.7410728057847192E-4</v>
      </c>
      <c r="I74" s="2">
        <f t="shared" si="16"/>
        <v>5.9924208184459708E-7</v>
      </c>
    </row>
    <row r="75" spans="1:9" x14ac:dyDescent="0.3">
      <c r="A75">
        <f t="shared" si="12"/>
        <v>74</v>
      </c>
      <c r="B75" s="1">
        <v>1.2133632428475732E-2</v>
      </c>
      <c r="C75" s="5">
        <f t="shared" si="13"/>
        <v>1.2183495490535002E-2</v>
      </c>
      <c r="D75" s="2">
        <f t="shared" si="17"/>
        <v>-8.8967835118414177E-5</v>
      </c>
      <c r="E75" s="2">
        <f t="shared" si="18"/>
        <v>-7.7410728057847192E-4</v>
      </c>
      <c r="F75" s="2">
        <f t="shared" si="19"/>
        <v>8.7829663677908357E-3</v>
      </c>
      <c r="G75" s="2">
        <f t="shared" si="14"/>
        <v>-4.9863062059269053E-5</v>
      </c>
      <c r="H75" s="2">
        <f t="shared" si="15"/>
        <v>1.2183495490535002E-2</v>
      </c>
      <c r="I75" s="2">
        <f t="shared" si="16"/>
        <v>1.4843756236788673E-4</v>
      </c>
    </row>
    <row r="76" spans="1:9" x14ac:dyDescent="0.3">
      <c r="A76">
        <f t="shared" si="12"/>
        <v>75</v>
      </c>
      <c r="B76" s="1">
        <v>1.1595765294793349E-2</v>
      </c>
      <c r="C76" s="5">
        <f t="shared" si="13"/>
        <v>1.0656491018165147E-2</v>
      </c>
      <c r="D76" s="2">
        <f t="shared" si="17"/>
        <v>1.2133632428475732E-2</v>
      </c>
      <c r="E76" s="2">
        <f t="shared" si="18"/>
        <v>1.2183495490535002E-2</v>
      </c>
      <c r="F76" s="2">
        <f t="shared" si="19"/>
        <v>-7.7410728057847192E-4</v>
      </c>
      <c r="G76" s="2">
        <f t="shared" si="14"/>
        <v>9.3927427662820139E-4</v>
      </c>
      <c r="H76" s="2">
        <f t="shared" si="15"/>
        <v>1.0656491018165147E-2</v>
      </c>
      <c r="I76" s="2">
        <f t="shared" si="16"/>
        <v>1.1356080082023446E-4</v>
      </c>
    </row>
    <row r="77" spans="1:9" x14ac:dyDescent="0.3">
      <c r="A77">
        <f t="shared" si="12"/>
        <v>76</v>
      </c>
      <c r="B77" s="1">
        <v>-1.2836210012195249E-2</v>
      </c>
      <c r="C77" s="5">
        <f t="shared" si="13"/>
        <v>-1.3671908621837876E-2</v>
      </c>
      <c r="D77" s="2">
        <f t="shared" si="17"/>
        <v>1.1595765294793349E-2</v>
      </c>
      <c r="E77" s="2">
        <f t="shared" si="18"/>
        <v>1.0656491018165147E-2</v>
      </c>
      <c r="F77" s="2">
        <f t="shared" si="19"/>
        <v>1.2183495490535002E-2</v>
      </c>
      <c r="G77" s="2">
        <f t="shared" si="14"/>
        <v>8.3569860964262778E-4</v>
      </c>
      <c r="H77" s="2">
        <f t="shared" si="15"/>
        <v>-1.3671908621837876E-2</v>
      </c>
      <c r="I77" s="2">
        <f t="shared" si="16"/>
        <v>1.8692108536388485E-4</v>
      </c>
    </row>
    <row r="78" spans="1:9" x14ac:dyDescent="0.3">
      <c r="A78">
        <f t="shared" si="12"/>
        <v>77</v>
      </c>
      <c r="B78" s="1">
        <v>-2.0895614439932226E-2</v>
      </c>
      <c r="C78" s="5">
        <f t="shared" si="13"/>
        <v>-1.9852815704845827E-2</v>
      </c>
      <c r="D78" s="2">
        <f t="shared" si="17"/>
        <v>-1.2836210012195249E-2</v>
      </c>
      <c r="E78" s="2">
        <f t="shared" si="18"/>
        <v>-1.3671908621837876E-2</v>
      </c>
      <c r="F78" s="2">
        <f t="shared" si="19"/>
        <v>1.0656491018165147E-2</v>
      </c>
      <c r="G78" s="2">
        <f t="shared" si="14"/>
        <v>-1.0427987350863986E-3</v>
      </c>
      <c r="H78" s="2">
        <f t="shared" si="15"/>
        <v>-1.9852815704845827E-2</v>
      </c>
      <c r="I78" s="2">
        <f t="shared" si="16"/>
        <v>3.9413429141057311E-4</v>
      </c>
    </row>
    <row r="79" spans="1:9" x14ac:dyDescent="0.3">
      <c r="A79">
        <f t="shared" si="12"/>
        <v>78</v>
      </c>
      <c r="B79" s="1">
        <v>-1.0269406735265029E-2</v>
      </c>
      <c r="C79" s="5">
        <f t="shared" si="13"/>
        <v>-8.7226949483670962E-3</v>
      </c>
      <c r="D79" s="2">
        <f t="shared" si="17"/>
        <v>-2.0895614439932226E-2</v>
      </c>
      <c r="E79" s="2">
        <f t="shared" si="18"/>
        <v>-1.9852815704845827E-2</v>
      </c>
      <c r="F79" s="2">
        <f t="shared" si="19"/>
        <v>-1.3671908621837876E-2</v>
      </c>
      <c r="G79" s="2">
        <f t="shared" si="14"/>
        <v>-1.5467117868979341E-3</v>
      </c>
      <c r="H79" s="2">
        <f t="shared" si="15"/>
        <v>-8.7226949483670962E-3</v>
      </c>
      <c r="I79" s="2">
        <f t="shared" si="16"/>
        <v>7.6085407162268854E-5</v>
      </c>
    </row>
    <row r="80" spans="1:9" x14ac:dyDescent="0.3">
      <c r="A80">
        <f t="shared" si="12"/>
        <v>79</v>
      </c>
      <c r="B80" s="1">
        <v>1.1894972751368478E-2</v>
      </c>
      <c r="C80" s="5">
        <f t="shared" si="13"/>
        <v>1.2590216545308654E-2</v>
      </c>
      <c r="D80" s="2">
        <f t="shared" si="17"/>
        <v>-1.0269406735265029E-2</v>
      </c>
      <c r="E80" s="2">
        <f t="shared" si="18"/>
        <v>-8.7226949483670962E-3</v>
      </c>
      <c r="F80" s="2">
        <f t="shared" si="19"/>
        <v>-1.9852815704845827E-2</v>
      </c>
      <c r="G80" s="2">
        <f t="shared" si="14"/>
        <v>-6.9524379394017631E-4</v>
      </c>
      <c r="H80" s="2">
        <f t="shared" si="15"/>
        <v>1.2590216545308654E-2</v>
      </c>
      <c r="I80" s="2">
        <f t="shared" si="16"/>
        <v>1.5851355265776378E-4</v>
      </c>
    </row>
    <row r="81" spans="1:9" x14ac:dyDescent="0.3">
      <c r="A81">
        <f t="shared" si="12"/>
        <v>80</v>
      </c>
      <c r="B81" s="1">
        <v>1.1268860105990996E-2</v>
      </c>
      <c r="C81" s="5">
        <f t="shared" si="13"/>
        <v>1.0307495411962391E-2</v>
      </c>
      <c r="D81" s="2">
        <f t="shared" si="17"/>
        <v>1.1894972751368478E-2</v>
      </c>
      <c r="E81" s="2">
        <f t="shared" si="18"/>
        <v>1.2590216545308654E-2</v>
      </c>
      <c r="F81" s="2">
        <f t="shared" si="19"/>
        <v>-8.7226949483670962E-3</v>
      </c>
      <c r="G81" s="2">
        <f t="shared" si="14"/>
        <v>9.6136469402860534E-4</v>
      </c>
      <c r="H81" s="2">
        <f t="shared" si="15"/>
        <v>1.0307495411962391E-2</v>
      </c>
      <c r="I81" s="2">
        <f t="shared" si="16"/>
        <v>1.0624446166762574E-4</v>
      </c>
    </row>
    <row r="82" spans="1:9" x14ac:dyDescent="0.3">
      <c r="A82">
        <f t="shared" si="12"/>
        <v>81</v>
      </c>
      <c r="B82" s="1">
        <v>5.2326986879193552E-3</v>
      </c>
      <c r="C82" s="5">
        <f t="shared" si="13"/>
        <v>4.4236081420452808E-3</v>
      </c>
      <c r="D82" s="2">
        <f t="shared" si="17"/>
        <v>1.1268860105990996E-2</v>
      </c>
      <c r="E82" s="2">
        <f t="shared" si="18"/>
        <v>1.0307495411962391E-2</v>
      </c>
      <c r="F82" s="2">
        <f t="shared" si="19"/>
        <v>1.2590216545308654E-2</v>
      </c>
      <c r="G82" s="2">
        <f t="shared" si="14"/>
        <v>8.0909054587407472E-4</v>
      </c>
      <c r="H82" s="2">
        <f t="shared" si="15"/>
        <v>4.4236081420452808E-3</v>
      </c>
      <c r="I82" s="2">
        <f t="shared" si="16"/>
        <v>1.9568308994369303E-5</v>
      </c>
    </row>
    <row r="83" spans="1:9" x14ac:dyDescent="0.3">
      <c r="A83">
        <f t="shared" si="12"/>
        <v>82</v>
      </c>
      <c r="B83" s="1">
        <v>-1.5261713538424343E-2</v>
      </c>
      <c r="C83" s="5">
        <f t="shared" si="13"/>
        <v>-1.5614653373214075E-2</v>
      </c>
      <c r="D83" s="2">
        <f t="shared" si="17"/>
        <v>5.2326986879193552E-3</v>
      </c>
      <c r="E83" s="2">
        <f t="shared" si="18"/>
        <v>4.4236081420452808E-3</v>
      </c>
      <c r="F83" s="2">
        <f t="shared" si="19"/>
        <v>1.0307495411962391E-2</v>
      </c>
      <c r="G83" s="2">
        <f t="shared" si="14"/>
        <v>3.529398347897314E-4</v>
      </c>
      <c r="H83" s="2">
        <f t="shared" si="15"/>
        <v>-1.5614653373214075E-2</v>
      </c>
      <c r="I83" s="2">
        <f t="shared" si="16"/>
        <v>2.4381739996562568E-4</v>
      </c>
    </row>
    <row r="84" spans="1:9" x14ac:dyDescent="0.3">
      <c r="A84">
        <f t="shared" si="12"/>
        <v>83</v>
      </c>
      <c r="B84" s="1">
        <v>6.3021730159759154E-3</v>
      </c>
      <c r="C84" s="5">
        <f t="shared" si="13"/>
        <v>7.5018087286992845E-3</v>
      </c>
      <c r="D84" s="2">
        <f t="shared" si="17"/>
        <v>-1.5261713538424343E-2</v>
      </c>
      <c r="E84" s="2">
        <f t="shared" si="18"/>
        <v>-1.5614653373214075E-2</v>
      </c>
      <c r="F84" s="2">
        <f t="shared" si="19"/>
        <v>4.4236081420452808E-3</v>
      </c>
      <c r="G84" s="2">
        <f t="shared" si="14"/>
        <v>-1.1996357127233691E-3</v>
      </c>
      <c r="H84" s="2">
        <f t="shared" si="15"/>
        <v>7.5018087286992845E-3</v>
      </c>
      <c r="I84" s="2">
        <f t="shared" si="16"/>
        <v>5.6277134201988772E-5</v>
      </c>
    </row>
    <row r="85" spans="1:9" x14ac:dyDescent="0.3">
      <c r="A85">
        <f t="shared" si="12"/>
        <v>84</v>
      </c>
      <c r="B85" s="1">
        <v>-3.292114885735796E-2</v>
      </c>
      <c r="C85" s="5">
        <f t="shared" si="13"/>
        <v>-3.3482668176418193E-2</v>
      </c>
      <c r="D85" s="2">
        <f t="shared" si="17"/>
        <v>6.3021730159759154E-3</v>
      </c>
      <c r="E85" s="2">
        <f t="shared" si="18"/>
        <v>7.5018087286992845E-3</v>
      </c>
      <c r="F85" s="2">
        <f t="shared" si="19"/>
        <v>-1.5614653373214075E-2</v>
      </c>
      <c r="G85" s="2">
        <f t="shared" si="14"/>
        <v>5.6151931906023094E-4</v>
      </c>
      <c r="H85" s="2">
        <f t="shared" si="15"/>
        <v>-3.3482668176418193E-2</v>
      </c>
      <c r="I85" s="2">
        <f t="shared" si="16"/>
        <v>1.1210890682121276E-3</v>
      </c>
    </row>
    <row r="86" spans="1:9" x14ac:dyDescent="0.3">
      <c r="A86">
        <f t="shared" si="12"/>
        <v>85</v>
      </c>
      <c r="B86" s="1">
        <v>-9.8892145049796678E-3</v>
      </c>
      <c r="C86" s="5">
        <f t="shared" si="13"/>
        <v>-7.3140118643460839E-3</v>
      </c>
      <c r="D86" s="2">
        <f t="shared" si="17"/>
        <v>-3.292114885735796E-2</v>
      </c>
      <c r="E86" s="2">
        <f t="shared" si="18"/>
        <v>-3.3482668176418193E-2</v>
      </c>
      <c r="F86" s="2">
        <f t="shared" si="19"/>
        <v>7.5018087286992845E-3</v>
      </c>
      <c r="G86" s="2">
        <f t="shared" si="14"/>
        <v>-2.5752026406335839E-3</v>
      </c>
      <c r="H86" s="2">
        <f t="shared" si="15"/>
        <v>-7.3140118643460839E-3</v>
      </c>
      <c r="I86" s="2">
        <f t="shared" si="16"/>
        <v>5.349476955179528E-5</v>
      </c>
    </row>
    <row r="87" spans="1:9" x14ac:dyDescent="0.3">
      <c r="A87">
        <f t="shared" si="12"/>
        <v>86</v>
      </c>
      <c r="B87" s="1">
        <v>-3.6634276681035513E-2</v>
      </c>
      <c r="C87" s="5">
        <f t="shared" si="13"/>
        <v>-3.6032913281114506E-2</v>
      </c>
      <c r="D87" s="2">
        <f t="shared" si="17"/>
        <v>-9.8892145049796678E-3</v>
      </c>
      <c r="E87" s="2">
        <f t="shared" si="18"/>
        <v>-7.3140118643460839E-3</v>
      </c>
      <c r="F87" s="2">
        <f t="shared" si="19"/>
        <v>-3.3482668176418193E-2</v>
      </c>
      <c r="G87" s="2">
        <f t="shared" si="14"/>
        <v>-6.0136339992100738E-4</v>
      </c>
      <c r="H87" s="2">
        <f t="shared" si="15"/>
        <v>-3.6032913281114506E-2</v>
      </c>
      <c r="I87" s="2">
        <f t="shared" si="16"/>
        <v>1.2983708395243182E-3</v>
      </c>
    </row>
    <row r="88" spans="1:9" x14ac:dyDescent="0.3">
      <c r="A88">
        <f t="shared" si="12"/>
        <v>87</v>
      </c>
      <c r="B88" s="1">
        <v>6.5344116293147491E-3</v>
      </c>
      <c r="C88" s="5">
        <f t="shared" si="13"/>
        <v>9.3231110272824769E-3</v>
      </c>
      <c r="D88" s="2">
        <f t="shared" si="17"/>
        <v>-3.6634276681035513E-2</v>
      </c>
      <c r="E88" s="2">
        <f t="shared" si="18"/>
        <v>-3.6032913281114506E-2</v>
      </c>
      <c r="F88" s="2">
        <f t="shared" si="19"/>
        <v>-7.3140118643460839E-3</v>
      </c>
      <c r="G88" s="2">
        <f t="shared" si="14"/>
        <v>-2.7886993979677286E-3</v>
      </c>
      <c r="H88" s="2">
        <f t="shared" si="15"/>
        <v>9.3231110272824769E-3</v>
      </c>
      <c r="I88" s="2">
        <f t="shared" si="16"/>
        <v>8.6920399227036115E-5</v>
      </c>
    </row>
    <row r="89" spans="1:9" x14ac:dyDescent="0.3">
      <c r="A89">
        <f t="shared" si="12"/>
        <v>88</v>
      </c>
      <c r="B89" s="1">
        <v>1.7700620086279033E-2</v>
      </c>
      <c r="C89" s="5">
        <f t="shared" si="13"/>
        <v>1.7021454212778397E-2</v>
      </c>
      <c r="D89" s="2">
        <f t="shared" si="17"/>
        <v>6.5344116293147491E-3</v>
      </c>
      <c r="E89" s="2">
        <f t="shared" si="18"/>
        <v>9.3231110272824769E-3</v>
      </c>
      <c r="F89" s="2">
        <f t="shared" si="19"/>
        <v>-3.6032913281114506E-2</v>
      </c>
      <c r="G89" s="2">
        <f t="shared" si="14"/>
        <v>6.7916587350063513E-4</v>
      </c>
      <c r="H89" s="2">
        <f t="shared" si="15"/>
        <v>1.7021454212778397E-2</v>
      </c>
      <c r="I89" s="2">
        <f t="shared" si="16"/>
        <v>2.8972990351771146E-4</v>
      </c>
    </row>
    <row r="90" spans="1:9" x14ac:dyDescent="0.3">
      <c r="A90">
        <f t="shared" si="12"/>
        <v>89</v>
      </c>
      <c r="B90" s="1">
        <v>-1.5931887898213242E-2</v>
      </c>
      <c r="C90" s="5">
        <f t="shared" si="13"/>
        <v>-1.7254917990390022E-2</v>
      </c>
      <c r="D90" s="2">
        <f t="shared" si="17"/>
        <v>1.7700620086279033E-2</v>
      </c>
      <c r="E90" s="2">
        <f t="shared" si="18"/>
        <v>1.7021454212778397E-2</v>
      </c>
      <c r="F90" s="2">
        <f t="shared" si="19"/>
        <v>9.3231110272824769E-3</v>
      </c>
      <c r="G90" s="2">
        <f t="shared" si="14"/>
        <v>1.3230300921767784E-3</v>
      </c>
      <c r="H90" s="2">
        <f t="shared" si="15"/>
        <v>-1.7254917990390022E-2</v>
      </c>
      <c r="I90" s="2">
        <f t="shared" si="16"/>
        <v>2.9773219485508523E-4</v>
      </c>
    </row>
    <row r="91" spans="1:9" x14ac:dyDescent="0.3">
      <c r="A91">
        <f t="shared" si="12"/>
        <v>90</v>
      </c>
      <c r="B91" s="1">
        <v>2.1774976308872589E-2</v>
      </c>
      <c r="C91" s="5">
        <f t="shared" si="13"/>
        <v>2.3087200191195697E-2</v>
      </c>
      <c r="D91" s="2">
        <f t="shared" si="17"/>
        <v>-1.5931887898213242E-2</v>
      </c>
      <c r="E91" s="2">
        <f t="shared" si="18"/>
        <v>-1.7254917990390022E-2</v>
      </c>
      <c r="F91" s="2">
        <f t="shared" si="19"/>
        <v>1.7021454212778397E-2</v>
      </c>
      <c r="G91" s="2">
        <f t="shared" si="14"/>
        <v>-1.3122238823231082E-3</v>
      </c>
      <c r="H91" s="2">
        <f t="shared" si="15"/>
        <v>2.3087200191195697E-2</v>
      </c>
      <c r="I91" s="2">
        <f t="shared" si="16"/>
        <v>5.3301881266834658E-4</v>
      </c>
    </row>
    <row r="92" spans="1:9" x14ac:dyDescent="0.3">
      <c r="A92">
        <f t="shared" si="12"/>
        <v>91</v>
      </c>
      <c r="B92" s="1">
        <v>8.9345377846058987E-3</v>
      </c>
      <c r="C92" s="5">
        <f t="shared" si="13"/>
        <v>7.1721808912323616E-3</v>
      </c>
      <c r="D92" s="2">
        <f t="shared" si="17"/>
        <v>2.1774976308872589E-2</v>
      </c>
      <c r="E92" s="2">
        <f t="shared" si="18"/>
        <v>2.3087200191195697E-2</v>
      </c>
      <c r="F92" s="2">
        <f t="shared" si="19"/>
        <v>-1.7254917990390022E-2</v>
      </c>
      <c r="G92" s="2">
        <f t="shared" si="14"/>
        <v>1.7623568933735373E-3</v>
      </c>
      <c r="H92" s="2">
        <f t="shared" si="15"/>
        <v>7.1721808912323616E-3</v>
      </c>
      <c r="I92" s="2">
        <f t="shared" si="16"/>
        <v>5.144017873655863E-5</v>
      </c>
    </row>
    <row r="93" spans="1:9" x14ac:dyDescent="0.3">
      <c r="A93">
        <f t="shared" si="12"/>
        <v>92</v>
      </c>
      <c r="B93" s="1">
        <v>2.3196663893637445E-2</v>
      </c>
      <c r="C93" s="5">
        <f t="shared" si="13"/>
        <v>2.2617942863255577E-2</v>
      </c>
      <c r="D93" s="2">
        <f t="shared" si="17"/>
        <v>8.9345377846058987E-3</v>
      </c>
      <c r="E93" s="2">
        <f t="shared" si="18"/>
        <v>7.1721808912323616E-3</v>
      </c>
      <c r="F93" s="2">
        <f t="shared" si="19"/>
        <v>2.3087200191195697E-2</v>
      </c>
      <c r="G93" s="2">
        <f t="shared" si="14"/>
        <v>5.7872103038186882E-4</v>
      </c>
      <c r="H93" s="2">
        <f t="shared" si="15"/>
        <v>2.2617942863255577E-2</v>
      </c>
      <c r="I93" s="2">
        <f t="shared" si="16"/>
        <v>5.1157133936549388E-4</v>
      </c>
    </row>
    <row r="94" spans="1:9" x14ac:dyDescent="0.3">
      <c r="A94">
        <f t="shared" si="12"/>
        <v>93</v>
      </c>
      <c r="B94" s="1">
        <v>-4.0931936386458148E-4</v>
      </c>
      <c r="C94" s="5">
        <f t="shared" si="13"/>
        <v>-2.1626890188918982E-3</v>
      </c>
      <c r="D94" s="2">
        <f t="shared" si="17"/>
        <v>2.3196663893637445E-2</v>
      </c>
      <c r="E94" s="2">
        <f t="shared" si="18"/>
        <v>2.2617942863255577E-2</v>
      </c>
      <c r="F94" s="2">
        <f t="shared" si="19"/>
        <v>7.1721808912323616E-3</v>
      </c>
      <c r="G94" s="2">
        <f t="shared" si="14"/>
        <v>1.753369655027317E-3</v>
      </c>
      <c r="H94" s="2">
        <f t="shared" si="15"/>
        <v>-2.1626890188918982E-3</v>
      </c>
      <c r="I94" s="2">
        <f t="shared" si="16"/>
        <v>4.6772237924356009E-6</v>
      </c>
    </row>
    <row r="95" spans="1:9" x14ac:dyDescent="0.3">
      <c r="A95">
        <f t="shared" si="12"/>
        <v>94</v>
      </c>
      <c r="B95" s="1">
        <v>1.9170432210071401E-3</v>
      </c>
      <c r="C95" s="5">
        <f t="shared" si="13"/>
        <v>2.0586638114171033E-3</v>
      </c>
      <c r="D95" s="2">
        <f t="shared" si="17"/>
        <v>-4.0931936386458148E-4</v>
      </c>
      <c r="E95" s="2">
        <f t="shared" si="18"/>
        <v>-2.1626890188918982E-3</v>
      </c>
      <c r="F95" s="2">
        <f t="shared" si="19"/>
        <v>2.2617942863255577E-2</v>
      </c>
      <c r="G95" s="2">
        <f t="shared" si="14"/>
        <v>-1.4162059040996304E-4</v>
      </c>
      <c r="H95" s="2">
        <f t="shared" si="15"/>
        <v>2.0586638114171033E-3</v>
      </c>
      <c r="I95" s="2">
        <f t="shared" si="16"/>
        <v>4.2380966884383946E-6</v>
      </c>
    </row>
    <row r="96" spans="1:9" x14ac:dyDescent="0.3">
      <c r="A96">
        <f t="shared" si="12"/>
        <v>95</v>
      </c>
      <c r="B96" s="1">
        <v>4.08407779549052E-3</v>
      </c>
      <c r="C96" s="5">
        <f t="shared" si="13"/>
        <v>3.9272843337283449E-3</v>
      </c>
      <c r="D96" s="2">
        <f t="shared" si="17"/>
        <v>1.9170432210071401E-3</v>
      </c>
      <c r="E96" s="2">
        <f t="shared" si="18"/>
        <v>2.0586638114171033E-3</v>
      </c>
      <c r="F96" s="2">
        <f t="shared" si="19"/>
        <v>-2.1626890188918982E-3</v>
      </c>
      <c r="G96" s="2">
        <f t="shared" si="14"/>
        <v>1.5679346176217479E-4</v>
      </c>
      <c r="H96" s="2">
        <f t="shared" si="15"/>
        <v>3.9272843337283449E-3</v>
      </c>
      <c r="I96" s="2">
        <f t="shared" si="16"/>
        <v>1.5423562237948091E-5</v>
      </c>
    </row>
    <row r="97" spans="1:9" x14ac:dyDescent="0.3">
      <c r="A97">
        <f t="shared" si="12"/>
        <v>96</v>
      </c>
      <c r="B97" s="1">
        <v>1.8135048543344794E-2</v>
      </c>
      <c r="C97" s="5">
        <f t="shared" si="13"/>
        <v>1.7829790369615309E-2</v>
      </c>
      <c r="D97" s="2">
        <f t="shared" si="17"/>
        <v>4.08407779549052E-3</v>
      </c>
      <c r="E97" s="2">
        <f t="shared" si="18"/>
        <v>3.9272843337283449E-3</v>
      </c>
      <c r="F97" s="2">
        <f t="shared" si="19"/>
        <v>2.0586638114171033E-3</v>
      </c>
      <c r="G97" s="2">
        <f t="shared" si="14"/>
        <v>3.0525817372948326E-4</v>
      </c>
      <c r="H97" s="2">
        <f t="shared" si="15"/>
        <v>1.7829790369615309E-2</v>
      </c>
      <c r="I97" s="2">
        <f t="shared" si="16"/>
        <v>3.1790142462442681E-4</v>
      </c>
    </row>
    <row r="98" spans="1:9" x14ac:dyDescent="0.3">
      <c r="A98">
        <f t="shared" si="12"/>
        <v>97</v>
      </c>
      <c r="B98" s="1">
        <v>-4.5007245934194414E-3</v>
      </c>
      <c r="C98" s="5">
        <f t="shared" si="13"/>
        <v>-5.8807383201990851E-3</v>
      </c>
      <c r="D98" s="2">
        <f t="shared" si="17"/>
        <v>1.8135048543344794E-2</v>
      </c>
      <c r="E98" s="2">
        <f t="shared" si="18"/>
        <v>1.7829790369615309E-2</v>
      </c>
      <c r="F98" s="2">
        <f t="shared" si="19"/>
        <v>3.9272843337283449E-3</v>
      </c>
      <c r="G98" s="2">
        <f t="shared" si="14"/>
        <v>1.3800137267796437E-3</v>
      </c>
      <c r="H98" s="2">
        <f t="shared" si="15"/>
        <v>-5.8807383201990851E-3</v>
      </c>
      <c r="I98" s="2">
        <f t="shared" si="16"/>
        <v>3.4583083190657959E-5</v>
      </c>
    </row>
    <row r="99" spans="1:9" x14ac:dyDescent="0.3">
      <c r="A99">
        <f t="shared" si="12"/>
        <v>98</v>
      </c>
      <c r="B99" s="1">
        <v>1.8664949850275309E-2</v>
      </c>
      <c r="C99" s="5">
        <f t="shared" si="13"/>
        <v>1.9098802618222159E-2</v>
      </c>
      <c r="D99" s="2">
        <f t="shared" si="17"/>
        <v>-4.5007245934194414E-3</v>
      </c>
      <c r="E99" s="2">
        <f t="shared" si="18"/>
        <v>-5.8807383201990851E-3</v>
      </c>
      <c r="F99" s="2">
        <f t="shared" si="19"/>
        <v>1.7829790369615309E-2</v>
      </c>
      <c r="G99" s="2">
        <f t="shared" si="14"/>
        <v>-4.3385276794684997E-4</v>
      </c>
      <c r="H99" s="2">
        <f t="shared" si="15"/>
        <v>1.9098802618222159E-2</v>
      </c>
      <c r="I99" s="2">
        <f t="shared" si="16"/>
        <v>3.6476426144980962E-4</v>
      </c>
    </row>
    <row r="100" spans="1:9" x14ac:dyDescent="0.3">
      <c r="A100">
        <f t="shared" si="12"/>
        <v>99</v>
      </c>
      <c r="B100" s="1">
        <v>2.7033456829270077E-3</v>
      </c>
      <c r="C100" s="5">
        <f t="shared" si="13"/>
        <v>1.2360623807114383E-3</v>
      </c>
      <c r="D100" s="2">
        <f t="shared" si="17"/>
        <v>1.8664949850275309E-2</v>
      </c>
      <c r="E100" s="2">
        <f t="shared" si="18"/>
        <v>1.9098802618222159E-2</v>
      </c>
      <c r="F100" s="2">
        <f t="shared" si="19"/>
        <v>-5.8807383201990851E-3</v>
      </c>
      <c r="G100" s="2">
        <f t="shared" si="14"/>
        <v>1.4672833022155694E-3</v>
      </c>
      <c r="H100" s="2">
        <f t="shared" si="15"/>
        <v>1.2360623807114383E-3</v>
      </c>
      <c r="I100" s="2">
        <f t="shared" si="16"/>
        <v>1.5278502090100286E-6</v>
      </c>
    </row>
    <row r="101" spans="1:9" x14ac:dyDescent="0.3">
      <c r="A101">
        <f t="shared" si="12"/>
        <v>100</v>
      </c>
      <c r="B101" s="1">
        <v>3.0549830427552354E-3</v>
      </c>
      <c r="C101" s="5">
        <f t="shared" si="13"/>
        <v>2.9384978994557308E-3</v>
      </c>
      <c r="D101" s="2">
        <f t="shared" si="17"/>
        <v>2.7033456829270077E-3</v>
      </c>
      <c r="E101" s="2">
        <f t="shared" si="18"/>
        <v>1.2360623807114383E-3</v>
      </c>
      <c r="F101" s="2">
        <f t="shared" si="19"/>
        <v>1.9098802618222159E-2</v>
      </c>
      <c r="G101" s="2">
        <f t="shared" si="14"/>
        <v>1.1648514329950444E-4</v>
      </c>
      <c r="H101" s="2">
        <f t="shared" si="15"/>
        <v>2.9384978994557308E-3</v>
      </c>
      <c r="I101" s="2">
        <f t="shared" si="16"/>
        <v>8.6347699051057422E-6</v>
      </c>
    </row>
    <row r="102" spans="1:9" x14ac:dyDescent="0.3">
      <c r="A102">
        <f t="shared" si="12"/>
        <v>101</v>
      </c>
      <c r="B102" s="1">
        <v>5.2851944058568334E-3</v>
      </c>
      <c r="C102" s="5">
        <f t="shared" si="13"/>
        <v>5.0568041486742585E-3</v>
      </c>
      <c r="D102" s="2">
        <f t="shared" si="17"/>
        <v>3.0549830427552354E-3</v>
      </c>
      <c r="E102" s="2">
        <f t="shared" si="18"/>
        <v>2.9384978994557308E-3</v>
      </c>
      <c r="F102" s="2">
        <f t="shared" si="19"/>
        <v>1.2360623807114383E-3</v>
      </c>
      <c r="G102" s="2">
        <f t="shared" si="14"/>
        <v>2.2839025718257485E-4</v>
      </c>
      <c r="H102" s="2">
        <f t="shared" si="15"/>
        <v>5.0568041486742585E-3</v>
      </c>
      <c r="I102" s="2">
        <f t="shared" si="16"/>
        <v>2.5571268198049191E-5</v>
      </c>
    </row>
    <row r="103" spans="1:9" x14ac:dyDescent="0.3">
      <c r="A103">
        <f t="shared" si="12"/>
        <v>102</v>
      </c>
      <c r="B103" s="1">
        <v>-1.0517299913554072E-2</v>
      </c>
      <c r="C103" s="5">
        <f t="shared" si="13"/>
        <v>-1.0910734342784577E-2</v>
      </c>
      <c r="D103" s="2">
        <f t="shared" si="17"/>
        <v>5.2851944058568334E-3</v>
      </c>
      <c r="E103" s="2">
        <f t="shared" si="18"/>
        <v>5.0568041486742585E-3</v>
      </c>
      <c r="F103" s="2">
        <f t="shared" si="19"/>
        <v>2.9384978994557308E-3</v>
      </c>
      <c r="G103" s="2">
        <f t="shared" si="14"/>
        <v>3.9343442923050483E-4</v>
      </c>
      <c r="H103" s="2">
        <f t="shared" si="15"/>
        <v>-1.0910734342784577E-2</v>
      </c>
      <c r="I103" s="2">
        <f t="shared" si="16"/>
        <v>1.190441238988188E-4</v>
      </c>
    </row>
    <row r="104" spans="1:9" x14ac:dyDescent="0.3">
      <c r="A104">
        <f t="shared" si="12"/>
        <v>103</v>
      </c>
      <c r="B104" s="1">
        <v>-4.0062587283207097E-3</v>
      </c>
      <c r="C104" s="5">
        <f t="shared" si="13"/>
        <v>-3.1701268583289623E-3</v>
      </c>
      <c r="D104" s="2">
        <f t="shared" si="17"/>
        <v>-1.0517299913554072E-2</v>
      </c>
      <c r="E104" s="2">
        <f t="shared" si="18"/>
        <v>-1.0910734342784577E-2</v>
      </c>
      <c r="F104" s="2">
        <f t="shared" si="19"/>
        <v>5.0568041486742585E-3</v>
      </c>
      <c r="G104" s="2">
        <f t="shared" si="14"/>
        <v>-8.361318699917472E-4</v>
      </c>
      <c r="H104" s="2">
        <f t="shared" si="15"/>
        <v>-3.1701268583289623E-3</v>
      </c>
      <c r="I104" s="2">
        <f t="shared" si="16"/>
        <v>1.0049704297898656E-5</v>
      </c>
    </row>
    <row r="105" spans="1:9" x14ac:dyDescent="0.3">
      <c r="A105">
        <f t="shared" si="12"/>
        <v>104</v>
      </c>
      <c r="B105" s="1">
        <v>8.8315719965507654E-3</v>
      </c>
      <c r="C105" s="5">
        <f t="shared" si="13"/>
        <v>9.0881913375495515E-3</v>
      </c>
      <c r="D105" s="2">
        <f t="shared" si="17"/>
        <v>-4.0062587283207097E-3</v>
      </c>
      <c r="E105" s="2">
        <f t="shared" si="18"/>
        <v>-3.1701268583289623E-3</v>
      </c>
      <c r="F105" s="2">
        <f t="shared" si="19"/>
        <v>-1.0910734342784577E-2</v>
      </c>
      <c r="G105" s="2">
        <f t="shared" si="14"/>
        <v>-2.5661934099878534E-4</v>
      </c>
      <c r="H105" s="2">
        <f t="shared" si="15"/>
        <v>9.0881913375495515E-3</v>
      </c>
      <c r="I105" s="2">
        <f t="shared" si="16"/>
        <v>8.25952217879107E-5</v>
      </c>
    </row>
    <row r="106" spans="1:9" x14ac:dyDescent="0.3">
      <c r="A106">
        <f t="shared" si="12"/>
        <v>105</v>
      </c>
      <c r="B106" s="1">
        <v>8.2410682176544802E-3</v>
      </c>
      <c r="C106" s="5">
        <f t="shared" si="13"/>
        <v>7.5435815730454606E-3</v>
      </c>
      <c r="D106" s="2">
        <f t="shared" si="17"/>
        <v>8.8315719965507654E-3</v>
      </c>
      <c r="E106" s="2">
        <f t="shared" si="18"/>
        <v>9.0881913375495515E-3</v>
      </c>
      <c r="F106" s="2">
        <f t="shared" si="19"/>
        <v>-3.1701268583289623E-3</v>
      </c>
      <c r="G106" s="2">
        <f t="shared" si="14"/>
        <v>6.9748664460901925E-4</v>
      </c>
      <c r="H106" s="2">
        <f t="shared" si="15"/>
        <v>7.5435815730454606E-3</v>
      </c>
      <c r="I106" s="2">
        <f t="shared" si="16"/>
        <v>5.6905622949191029E-5</v>
      </c>
    </row>
    <row r="107" spans="1:9" x14ac:dyDescent="0.3">
      <c r="A107">
        <f t="shared" si="12"/>
        <v>106</v>
      </c>
      <c r="B107" s="1">
        <v>-2.7870896835804266E-3</v>
      </c>
      <c r="C107" s="5">
        <f t="shared" si="13"/>
        <v>-3.3791381379604819E-3</v>
      </c>
      <c r="D107" s="2">
        <f t="shared" si="17"/>
        <v>8.2410682176544802E-3</v>
      </c>
      <c r="E107" s="2">
        <f t="shared" si="18"/>
        <v>7.5435815730454606E-3</v>
      </c>
      <c r="F107" s="2">
        <f t="shared" si="19"/>
        <v>9.0881913375495515E-3</v>
      </c>
      <c r="G107" s="2">
        <f t="shared" si="14"/>
        <v>5.9204845438005503E-4</v>
      </c>
      <c r="H107" s="2">
        <f t="shared" si="15"/>
        <v>-3.3791381379604819E-3</v>
      </c>
      <c r="I107" s="2">
        <f t="shared" si="16"/>
        <v>1.1418574555419033E-5</v>
      </c>
    </row>
    <row r="108" spans="1:9" x14ac:dyDescent="0.3">
      <c r="A108">
        <f t="shared" si="12"/>
        <v>107</v>
      </c>
      <c r="B108" s="1">
        <v>8.2088868779400771E-4</v>
      </c>
      <c r="C108" s="5">
        <f t="shared" si="13"/>
        <v>1.0730773346254668E-3</v>
      </c>
      <c r="D108" s="2">
        <f t="shared" si="17"/>
        <v>-2.7870896835804266E-3</v>
      </c>
      <c r="E108" s="2">
        <f t="shared" si="18"/>
        <v>-3.3791381379604819E-3</v>
      </c>
      <c r="F108" s="2">
        <f t="shared" si="19"/>
        <v>7.5435815730454606E-3</v>
      </c>
      <c r="G108" s="2">
        <f t="shared" si="14"/>
        <v>-2.5218864683145909E-4</v>
      </c>
      <c r="H108" s="2">
        <f t="shared" si="15"/>
        <v>1.0730773346254668E-3</v>
      </c>
      <c r="I108" s="2">
        <f t="shared" si="16"/>
        <v>1.1514949660868961E-6</v>
      </c>
    </row>
    <row r="109" spans="1:9" x14ac:dyDescent="0.3">
      <c r="A109">
        <f t="shared" si="12"/>
        <v>108</v>
      </c>
      <c r="B109" s="1">
        <v>-1.3999348446081347E-2</v>
      </c>
      <c r="C109" s="5">
        <f t="shared" si="13"/>
        <v>-1.4078509593428757E-2</v>
      </c>
      <c r="D109" s="2">
        <f t="shared" si="17"/>
        <v>8.2088868779400771E-4</v>
      </c>
      <c r="E109" s="2">
        <f t="shared" si="18"/>
        <v>1.0730773346254668E-3</v>
      </c>
      <c r="F109" s="2">
        <f t="shared" si="19"/>
        <v>-3.3791381379604819E-3</v>
      </c>
      <c r="G109" s="2">
        <f t="shared" si="14"/>
        <v>7.9161147347409213E-5</v>
      </c>
      <c r="H109" s="2">
        <f t="shared" si="15"/>
        <v>-1.4078509593428757E-2</v>
      </c>
      <c r="I109" s="2">
        <f t="shared" si="16"/>
        <v>1.9820443237226554E-4</v>
      </c>
    </row>
    <row r="110" spans="1:9" x14ac:dyDescent="0.3">
      <c r="A110">
        <f t="shared" si="12"/>
        <v>109</v>
      </c>
      <c r="B110" s="1">
        <v>-4.0412801923870388E-2</v>
      </c>
      <c r="C110" s="5">
        <f t="shared" si="13"/>
        <v>-3.932774352020374E-2</v>
      </c>
      <c r="D110" s="2">
        <f t="shared" si="17"/>
        <v>-1.3999348446081347E-2</v>
      </c>
      <c r="E110" s="2">
        <f t="shared" si="18"/>
        <v>-1.4078509593428757E-2</v>
      </c>
      <c r="F110" s="2">
        <f t="shared" si="19"/>
        <v>1.0730773346254668E-3</v>
      </c>
      <c r="G110" s="2">
        <f t="shared" si="14"/>
        <v>-1.0850584036666451E-3</v>
      </c>
      <c r="H110" s="2">
        <f t="shared" si="15"/>
        <v>-3.932774352020374E-2</v>
      </c>
      <c r="I110" s="2">
        <f t="shared" si="16"/>
        <v>1.5466714103909273E-3</v>
      </c>
    </row>
  </sheetData>
  <mergeCells count="1">
    <mergeCell ref="Y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Wójtowicz</dc:creator>
  <cp:lastModifiedBy>Małgorzata Leszczyńska</cp:lastModifiedBy>
  <dcterms:created xsi:type="dcterms:W3CDTF">2025-10-15T08:23:29Z</dcterms:created>
  <dcterms:modified xsi:type="dcterms:W3CDTF">2025-11-09T18:09:08Z</dcterms:modified>
</cp:coreProperties>
</file>